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_SIMULATOR" sheetId="1" state="visible" r:id="rId1"/>
    <sheet xmlns:r="http://schemas.openxmlformats.org/officeDocument/2006/relationships" name="RATE_CARDS" sheetId="2" state="visible" r:id="rId2"/>
    <sheet xmlns:r="http://schemas.openxmlformats.org/officeDocument/2006/relationships" name="VEHICLE_SPECS" sheetId="3" state="visible" r:id="rId3"/>
    <sheet xmlns:r="http://schemas.openxmlformats.org/officeDocument/2006/relationships" name="SCENARIO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$#,##0.00"/>
  </numFmts>
  <fonts count="9">
    <font>
      <name val="Calibri"/>
      <family val="2"/>
      <color theme="1"/>
      <sz val="11"/>
      <scheme val="minor"/>
    </font>
    <font>
      <name val="Times New Roman"/>
      <b val="1"/>
      <color rgb="00002060"/>
      <sz val="15"/>
    </font>
    <font>
      <name val="Times New Roman"/>
      <i val="1"/>
      <color rgb="00333333"/>
      <sz val="11"/>
    </font>
    <font>
      <name val="Times New Roman"/>
      <i val="1"/>
      <color rgb="00555555"/>
      <sz val="9.5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C00000"/>
      <sz val="11"/>
    </font>
    <font>
      <name val="Times New Roman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  <fill>
      <patternFill patternType="solid">
        <fgColor rgb="002E5B82"/>
        <bgColor rgb="002E5B8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002060"/>
        <bgColor rgb="00002060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497D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9" fontId="6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49" fontId="6" fillId="4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49" fontId="6" fillId="4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49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4" fillId="2" borderId="0" pivotButton="0" quotePrefix="0" xfId="0"/>
    <xf numFmtId="0" fontId="8" fillId="5" borderId="2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5" fillId="9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4" customWidth="1" min="3" max="3"/>
    <col width="25" customWidth="1" min="4" max="4"/>
    <col width="25" customWidth="1" min="5" max="5"/>
    <col width="4" customWidth="1" min="6" max="6"/>
    <col width="44" customWidth="1" min="7" max="7"/>
    <col width="18" customWidth="1" min="8" max="8"/>
    <col width="18" customWidth="1" min="9" max="9"/>
    <col width="4" customWidth="1" min="10" max="10"/>
    <col width="44" customWidth="1" min="11" max="11"/>
    <col width="18" customWidth="1" min="12" max="12"/>
    <col width="18" customWidth="1" min="13" max="13"/>
  </cols>
  <sheetData>
    <row r="2">
      <c r="B2" s="1" t="inlineStr">
        <is>
          <t>BUỒNG LÁI MÔ PHỎNG CHI PHÍ &amp; ĐỊNH GIÁ XUẤT NHẬP KHẨU ĐA KỊCH BẢN V2</t>
        </is>
      </c>
    </row>
    <row r="3">
      <c r="B3" s="2" t="inlineStr">
        <is>
          <t>HỆ THỐNG ĐIỀU HÀNH THƯƠNG MẠI CMH · PHÁP NHÂN G-SS CO.,LTD (MST: 0109469047) · REAL-TIME MB BANK FX</t>
        </is>
      </c>
    </row>
    <row r="4">
      <c r="B4" s="3" t="inlineStr">
        <is>
          <t>Sản phẩm: Snack Quẩy Giòn Giòn (Crispy Stick Snack) | HS: 1905.90.80 | Quy cách: 22g x 300 cốc/thùng | Thể tích: 0.0785 m³/thùng</t>
        </is>
      </c>
    </row>
    <row r="6">
      <c r="B6" s="4" t="inlineStr">
        <is>
          <t>1. BẢNG ĐIỀU KHIỂN THAM SỐ KỊCH BẢN (CONTROLS)</t>
        </is>
      </c>
      <c r="G6" s="5" t="inlineStr">
        <is>
          <t>2. BÓC TÁCH CHI PHÍ ĐƠN HÀNG (COST BREAKDOWN)</t>
        </is>
      </c>
      <c r="K6" s="6" t="inlineStr">
        <is>
          <t>3. HIỆU QUẢ TÀI CHÍNH P&amp;L 2 TẦNG</t>
        </is>
      </c>
    </row>
    <row r="7">
      <c r="B7" s="7" t="inlineStr">
        <is>
          <t>Mã kịch bản mô phỏng</t>
        </is>
      </c>
      <c r="C7" s="8" t="inlineStr">
        <is>
          <t>SIM-2026-DIX-SAVANNAKHET</t>
        </is>
      </c>
      <c r="D7" s="9" t="inlineStr">
        <is>
          <t>Text</t>
        </is>
      </c>
      <c r="G7" s="7" t="inlineStr">
        <is>
          <t>1. Giá vốn mua hàng chưa VAT (COGS - TK 632)</t>
        </is>
      </c>
      <c r="H7" s="10">
        <f>C12*C13</f>
        <v/>
      </c>
      <c r="K7" s="11" t="inlineStr">
        <is>
          <t>Tổng Doanh thu xuất khẩu (USD)</t>
        </is>
      </c>
      <c r="L7" s="12">
        <f>C12*C24</f>
        <v/>
      </c>
    </row>
    <row r="8">
      <c r="B8" s="7" t="inlineStr">
        <is>
          <t>Khách hàng / Thị trường đích</t>
        </is>
      </c>
      <c r="C8" s="8" t="inlineStr">
        <is>
          <t>DIX TRADING / SAVANNAKHET (LÀO) - THÁI LAN</t>
        </is>
      </c>
      <c r="D8" s="9" t="inlineStr">
        <is>
          <t>Text</t>
        </is>
      </c>
      <c r="G8" s="7" t="inlineStr">
        <is>
          <t>2. Thuế GTGT đầu vào 8% (Quỹ hoàn thuế TK 1331)</t>
        </is>
      </c>
      <c r="H8" s="10">
        <f>G7*C14</f>
        <v/>
      </c>
      <c r="K8" s="11" t="inlineStr">
        <is>
          <t>Tổng Doanh thu xuất khẩu quy đổi (VNĐ)</t>
        </is>
      </c>
      <c r="L8" s="13">
        <f>K7*C19</f>
        <v/>
      </c>
    </row>
    <row r="9">
      <c r="B9" s="7" t="inlineStr">
        <is>
          <t>Điều kiện Incoterms 2020</t>
        </is>
      </c>
      <c r="C9" s="14" t="inlineStr">
        <is>
          <t>CPT Savannakhet</t>
        </is>
      </c>
      <c r="D9" s="9" t="inlineStr">
        <is>
          <t>Dropdown</t>
        </is>
      </c>
      <c r="G9" s="11" t="inlineStr">
        <is>
          <t>3. Tổng tiền thanh toán cho Nhà máy (100% qua NH)</t>
        </is>
      </c>
      <c r="H9" s="15">
        <f>G7+G8</f>
        <v/>
      </c>
      <c r="K9" s="7" t="inlineStr">
        <is>
          <t>TẦNG 1: LỢI NHUẬN DÒNG TIỀN VẬN HÀNH (VNĐ)</t>
        </is>
      </c>
      <c r="L9" s="16">
        <f>K8-G7-G21</f>
        <v/>
      </c>
    </row>
    <row r="10">
      <c r="B10" s="7" t="inlineStr">
        <is>
          <t>Loại phương tiện &amp; Thiết bị</t>
        </is>
      </c>
      <c r="C10" s="17" t="inlineStr">
        <is>
          <t>Cont 40ft HC (800 thùng)</t>
        </is>
      </c>
      <c r="D10" s="9" t="inlineStr">
        <is>
          <t>Dropdown</t>
        </is>
      </c>
      <c r="G10" s="11" t="inlineStr">
        <is>
          <t>4. Cước vận tải xe/cont (Freight base)</t>
        </is>
      </c>
      <c r="H10" s="15">
        <f>IF(ISNUMBER(SEARCH("HOWO",C10)),22000000,IF(ISNUMBER(SEARCH("40ft",C10)),35000000,35000000))</f>
        <v/>
      </c>
      <c r="K10" s="7" t="inlineStr">
        <is>
          <t>Biên lợi nhuận dòng tiền thực (% Cash Margin)</t>
        </is>
      </c>
      <c r="L10" s="18">
        <f>K9/K8</f>
        <v/>
      </c>
    </row>
    <row r="11">
      <c r="B11" s="7" t="inlineStr">
        <is>
          <t>Bộ đơn giá đối tác (Preset Profile)</t>
        </is>
      </c>
      <c r="C11" s="17" t="inlineStr">
        <is>
          <t>Set 1: Tiêu Chuẩn GSS (Bình An + Vĩnh Thành)</t>
        </is>
      </c>
      <c r="D11" s="9" t="inlineStr">
        <is>
          <t>Dropdown</t>
        </is>
      </c>
      <c r="G11" s="11" t="inlineStr">
        <is>
          <t>5. Chi phí lưu ca xe cont (Demurrage)</t>
        </is>
      </c>
      <c r="H11" s="15">
        <f>C15*C16</f>
        <v/>
      </c>
      <c r="K11" s="7" t="inlineStr">
        <is>
          <t>TẦNG 2: QUỸ HOÀN THUẾ GTGT 0% (TK 1331)</t>
        </is>
      </c>
      <c r="L11" s="19">
        <f>G8</f>
        <v/>
      </c>
    </row>
    <row r="12">
      <c r="B12" s="7" t="inlineStr">
        <is>
          <t>Số lượng thùng xuất khẩu</t>
        </is>
      </c>
      <c r="C12" s="20" t="n">
        <v>800</v>
      </c>
      <c r="D12" s="9" t="inlineStr">
        <is>
          <t>Calc/Input</t>
        </is>
      </c>
      <c r="G12" s="11" t="inlineStr">
        <is>
          <t>6. Phí cẩu bãi &amp; hạ cont LOLO (Lift-on/Lift-off)</t>
        </is>
      </c>
      <c r="H12" s="15">
        <f>IF(ISNUMBER(SEARCH("HOWO",C10)),0,2000000)</f>
        <v/>
      </c>
      <c r="K12" s="7" t="inlineStr">
        <is>
          <t>TỔNG LỢI NHUẬN KINH TẾ TOÀN DIỆN (VNĐ)</t>
        </is>
      </c>
      <c r="L12" s="19">
        <f>K9+K11</f>
        <v/>
      </c>
    </row>
    <row r="13">
      <c r="B13" s="7" t="inlineStr">
        <is>
          <t>Đơn giá mua nhà máy Thiên Long (chưa VAT)</t>
        </is>
      </c>
      <c r="C13" s="21" t="n">
        <v>337000</v>
      </c>
      <c r="D13" s="9" t="inlineStr">
        <is>
          <t>HĐNT 269901/HĐNT/TL-GSS SSOT</t>
        </is>
      </c>
      <c r="G13" s="11" t="inlineStr">
        <is>
          <t>7. Phí thủ tục Hải quan VN &amp; C/O Form D (Bình An)</t>
        </is>
      </c>
      <c r="H13" s="15">
        <f>IF(ISNUMBER(SEARCH("Bình An",C11)),3000000,3000000)</f>
        <v/>
      </c>
      <c r="K13" s="7" t="inlineStr">
        <is>
          <t>Tỷ suất lợi nhuận toàn diện (% Net Margin)</t>
        </is>
      </c>
      <c r="L13" s="18">
        <f>K12/K8</f>
        <v/>
      </c>
    </row>
    <row r="14">
      <c r="B14" s="7" t="inlineStr">
        <is>
          <t>Thuế suất VAT mua vào (TK 1331)</t>
        </is>
      </c>
      <c r="C14" s="22" t="n">
        <v>0.08</v>
      </c>
      <c r="D14" s="9" t="inlineStr">
        <is>
          <t>Param</t>
        </is>
      </c>
      <c r="G14" s="11" t="inlineStr">
        <is>
          <t>8. Phí thủ tục Biên phòng Lao Bảo &amp; Bãi 32BBG02</t>
        </is>
      </c>
      <c r="H14" s="15">
        <f>IF(ISNUMBER(SEARCH("Bình An",C11)),1500000,1500000)</f>
        <v/>
      </c>
      <c r="K14" s="7" t="inlineStr">
        <is>
          <t>ĐÁNH GIÁ AN TOÀN DÒNG TIỀN CỦA CFO</t>
        </is>
      </c>
      <c r="L14" s="23">
        <f>IF(K9&lt;0,"NGUY HIỂM: DÒNG TIỀN ÂM",IF(K10&lt;0.05,"CẢNH BÁO: BIÊN QUÁ MỎNG","AN TOÀN: DÒNG TIỀN DƯƠNG"))</f>
        <v/>
      </c>
    </row>
    <row r="15">
      <c r="B15" s="7" t="inlineStr">
        <is>
          <t>Số ngày lưu ca xe/cont vượt hạn 48h</t>
        </is>
      </c>
      <c r="C15" s="24" t="n">
        <v>1</v>
      </c>
      <c r="D15" s="9" t="inlineStr">
        <is>
          <t>Input (0-5 ngày)</t>
        </is>
      </c>
      <c r="G15" s="11" t="inlineStr">
        <is>
          <t>9. Phí thủ tục quá cảnh Lào &amp; Kẹp chì (Ngân Hùng)</t>
        </is>
      </c>
      <c r="H15" s="15">
        <f>IF(ISNUMBER(SEARCH("Lao Bảo",C9)),0,IF(ISNUMBER(SEARCH("Ngân Hùng",C11)),4300000,IF(ISNUMBER(SEARCH("Phối hợp",C11)),4300000,5000000)))</f>
        <v/>
      </c>
    </row>
    <row r="16">
      <c r="B16" s="7" t="inlineStr">
        <is>
          <t>Đơn giá phạt lưu ca/ngày (VNĐ/ngày)</t>
        </is>
      </c>
      <c r="C16" s="21" t="n">
        <v>3000000</v>
      </c>
      <c r="D16" s="9" t="inlineStr">
        <is>
          <t>XLOOKUP/Param (Lào sau 48h: 3M)</t>
        </is>
      </c>
      <c r="G16" s="11" t="inlineStr">
        <is>
          <t>10. Phí dịch vụ bến bãi &amp; kiểm hóa cửa khẩu</t>
        </is>
      </c>
      <c r="H16" s="15">
        <f>1500000</f>
        <v/>
      </c>
    </row>
    <row r="17">
      <c r="B17" s="7" t="inlineStr">
        <is>
          <t>Số lần phát sinh phí chuyển tiền ngoại tệ</t>
        </is>
      </c>
      <c r="C17" s="25" t="n">
        <v>2</v>
      </c>
      <c r="D17" s="9" t="inlineStr">
        <is>
          <t>Input (1-2 lần)</t>
        </is>
      </c>
      <c r="G17" s="11" t="inlineStr">
        <is>
          <t>11. Phí tài chính ngân hàng ngoại tệ ($47 x số đợt)</t>
        </is>
      </c>
      <c r="H17" s="15">
        <f>C17*C18*C19</f>
        <v/>
      </c>
    </row>
    <row r="18">
      <c r="B18" s="7" t="inlineStr">
        <is>
          <t>Phí ngân hàng quốc tế mỗi đợt (USD)</t>
        </is>
      </c>
      <c r="C18" s="26" t="n">
        <v>47</v>
      </c>
      <c r="D18" s="9" t="inlineStr">
        <is>
          <t>Param ($5 báo có + $42 điện)</t>
        </is>
      </c>
      <c r="G18" s="11" t="inlineStr">
        <is>
          <t>12. Bảo hiểm hàng hóa quốc tế (0.2% giá trị hàng)</t>
        </is>
      </c>
      <c r="H18" s="15">
        <f>IF(C20=1,G7*0.002,0)</f>
        <v/>
      </c>
    </row>
    <row r="19">
      <c r="B19" s="7" t="inlineStr">
        <is>
          <t>Tỷ giá Mua Chuyển Khoản MB Bank (Real-time)</t>
        </is>
      </c>
      <c r="C19" s="16" t="n">
        <v>25790</v>
      </c>
      <c r="D19" s="9" t="inlineStr">
        <is>
          <t>MB Bank Live FX (VND/USD)</t>
        </is>
      </c>
      <c r="G19" s="11" t="inlineStr">
        <is>
          <t>13. Vật tư chèn lót túi khí &amp; bốc xếp ngoài giờ</t>
        </is>
      </c>
      <c r="H19" s="15">
        <f>IF(C21=1,800000,0)</f>
        <v/>
      </c>
    </row>
    <row r="20">
      <c r="B20" s="7" t="inlineStr">
        <is>
          <t>Bảo hiểm hàng hóa quốc tế (0.2% giá trị hàng)</t>
        </is>
      </c>
      <c r="C20" s="24" t="n">
        <v>1</v>
      </c>
      <c r="D20" s="9" t="inlineStr">
        <is>
          <t>Toggle: 1=Bật, 0=Tắt</t>
        </is>
      </c>
      <c r="G20" s="11" t="inlineStr">
        <is>
          <t>14. Phí kiểm hóa luồng đỏ &amp; Hạ tầng cửa khẩu</t>
        </is>
      </c>
      <c r="H20" s="15">
        <f>IF(C22=1,1500000,0)</f>
        <v/>
      </c>
    </row>
    <row r="21">
      <c r="B21" s="7" t="inlineStr">
        <is>
          <t>Vật tư chèn lót túi khí &amp; bốc xếp ngoài giờ</t>
        </is>
      </c>
      <c r="C21" s="24" t="n">
        <v>1</v>
      </c>
      <c r="D21" s="9" t="inlineStr">
        <is>
          <t>Toggle: 1=Bật (+800k), 0=Tắt</t>
        </is>
      </c>
      <c r="G21" s="11" t="inlineStr">
        <is>
          <t>15. Sang xe chuyển tải Cảng cạn Savannakhet</t>
        </is>
      </c>
      <c r="H21" s="27">
        <f>IF(C23=1,2000000,0)</f>
        <v/>
      </c>
    </row>
    <row r="22">
      <c r="B22" s="7" t="inlineStr">
        <is>
          <t>Phí kiểm hóa luồng đỏ &amp; Lệ phí hạ tầng</t>
        </is>
      </c>
      <c r="C22" s="24" t="n">
        <v>0</v>
      </c>
      <c r="D22" s="9" t="inlineStr">
        <is>
          <t>Toggle: 1=Bật (+1.5M), 0=Tắt</t>
        </is>
      </c>
      <c r="G22" s="7" t="inlineStr">
        <is>
          <t>TỔNG CHI PHÍ LOGISTICS &amp; DỊCH VỤ THỰC CHI (VNĐ)</t>
        </is>
      </c>
      <c r="H22" s="16">
        <f>SUM(G10:G21)</f>
        <v/>
      </c>
    </row>
    <row r="23">
      <c r="B23" s="7" t="inlineStr">
        <is>
          <t>Sang xe chuyển tải Cảng cạn Savannakhet</t>
        </is>
      </c>
      <c r="C23" s="24" t="n">
        <v>0</v>
      </c>
      <c r="D23" s="9" t="inlineStr">
        <is>
          <t>Toggle: 1=Bật (+2.0M), 0=Tắt</t>
        </is>
      </c>
      <c r="G23" s="7" t="inlineStr">
        <is>
          <t>TỔNG CHI PHÍ LOGISTICS QUY ĐỔI (USD)</t>
        </is>
      </c>
      <c r="H23" s="28">
        <f>G22/C19</f>
        <v/>
      </c>
    </row>
    <row r="24">
      <c r="B24" s="7" t="inlineStr">
        <is>
          <t>Giá bán đang dự kiến chào khách (USD/thùng)</t>
        </is>
      </c>
      <c r="C24" s="29" t="n">
        <v>17.5</v>
      </c>
      <c r="D24" s="9" t="inlineStr">
        <is>
          <t>Input (Thử nghiệm)</t>
        </is>
      </c>
      <c r="G24" s="7" t="inlineStr">
        <is>
          <t>CHI PHÍ LOGISTICS TRÊN TỪNG THÙNG (VNĐ/thùng)</t>
        </is>
      </c>
      <c r="H24" s="19">
        <f>G22/C12</f>
        <v/>
      </c>
    </row>
    <row r="25">
      <c r="G25" s="7" t="inlineStr">
        <is>
          <t>CHI PHÍ LOGISTICS TRÊN TỪNG THÙNG (USD/thùng)</t>
        </is>
      </c>
      <c r="H25" s="30">
        <f>G23/C12</f>
        <v/>
      </c>
    </row>
    <row r="26">
      <c r="B26" s="4" t="inlineStr">
        <is>
          <t>4. BẢNG ĐỊNH GIÁ BÁN NGOẠI TỆ ĐỀ XUẤT (DYNAMIC PRICING)</t>
        </is>
      </c>
      <c r="G26" s="6" t="inlineStr">
        <is>
          <t>5. CẢNH BÁO CHIẾN LƯỢC TỪ HỘI ĐỒNG QUAD-PERSONA (GSS RISK SHIELD)</t>
        </is>
      </c>
    </row>
    <row r="27">
      <c r="B27" s="7" t="inlineStr">
        <is>
          <t>Mức 1: Giá sàn hòa vốn dòng tiền (Break-even - 0% Lãi)</t>
        </is>
      </c>
      <c r="C27" s="29">
        <f>((G7+G21)/C12)/C19</f>
        <v/>
      </c>
      <c r="D27" s="9" t="inlineStr">
        <is>
          <t>Giá tối thiểu tuyệt đối, cấm bán thấp hơn</t>
        </is>
      </c>
      <c r="G27" s="31" t="inlineStr">
        <is>
          <t>1. TỶ GIÁ MUA CHUYỂN KHOẢN MB BANK: Bắt buộc dùng tỷ giá Mua Chuyển Khoản USD/VND thực tế (MB Bank) để tính toán, không dùng tỷ giá bán ra.</t>
        </is>
      </c>
    </row>
    <row r="28">
      <c r="B28" s="7" t="inlineStr">
        <is>
          <t>Mức 2: Giá an toàn bảo toàn vốn (Target Cash Margin 5%)</t>
        </is>
      </c>
      <c r="C28" s="28">
        <f>(((G7+G21)/C12)/(1-0.05))/C19</f>
        <v/>
      </c>
      <c r="D28" s="9" t="inlineStr">
        <is>
          <t>Đàm phán khi đối thủ cạnh tranh gay gắt</t>
        </is>
      </c>
      <c r="G28" s="31" t="inlineStr">
        <is>
          <t>2. BẪY THỂ TÍCH (THE VOLUME TRAP): Tuyệt đối không chào giá Cont 40ft HC bằng giá của xe HOWO 15.6m. Giá cont 40ft phải cao hơn tối thiểu +$1.50 - $1.80 USD/thùng so với giá FCA Lao Bảo.</t>
        </is>
      </c>
    </row>
    <row r="29">
      <c r="B29" s="7" t="inlineStr">
        <is>
          <t>Mức 3: Giá mục tiêu chuẩn GSS (Target Cash Margin 8%)</t>
        </is>
      </c>
      <c r="C29" s="28">
        <f>(((G7+G21)/C12)/(1-0.08))/C19</f>
        <v/>
      </c>
      <c r="D29" s="9" t="inlineStr">
        <is>
          <t>Khuyến nghị chuẩn cho nhân viên kinh doanh</t>
        </is>
      </c>
      <c r="G29" s="31" t="inlineStr">
        <is>
          <t>3. RỦI RO LƯU CA (DEMURRAGE RISK): Hợp đồng ngoại thương bắt buộc phải có điều khoản phạt lưu ca $150 USD/ngày sau 48h miễn phí do lỗi từ phía Buyer.</t>
        </is>
      </c>
    </row>
    <row r="30">
      <c r="B30" s="7" t="inlineStr">
        <is>
          <t>Mức 4: Giá tối ưu lợi nhuận cao (Target Cash Margin 12%)</t>
        </is>
      </c>
      <c r="C30" s="29">
        <f>(((G7+G21)/C12)/(1-0.12))/C19</f>
        <v/>
      </c>
      <c r="D30" s="9" t="inlineStr">
        <is>
          <t>Áp dụng cho đơn hàng độc quyền phân phối</t>
        </is>
      </c>
      <c r="G30" s="31" t="inlineStr">
        <is>
          <t>4. TÁCH BIỆT DÒNG TIỀN (CFO RULE): Không được lấy Quỹ hoàn thuế GTGT Tầng 2 (TK 1331) bù đắp cho việc dòng tiền vận hành Tầng 1 bị âm. Dòng tiền Tầng 1 phải luôn dương!</t>
        </is>
      </c>
    </row>
    <row r="31">
      <c r="B31" s="7" t="inlineStr">
        <is>
          <t>Mức 5: Giá xuất sắc biên độ lớn (Target Cash Margin 15%)</t>
        </is>
      </c>
      <c r="C31" s="29">
        <f>(((G7+G21)/C12)/(1-0.15))/C19</f>
        <v/>
      </c>
      <c r="D31" s="9" t="inlineStr">
        <is>
          <t>Đơn hàng nhỏ hoặc khách chấp nhận giá cao</t>
        </is>
      </c>
      <c r="G31" s="31" t="inlineStr">
        <is>
          <t>5. BẢO HIỂM HÀNG HÓA (CARGO INSURANCE): Cực kỳ khuyến nghị mua bảo hiểm hàng hóa quốc tế đường bộ (0.2%) để bảo vệ 100% vốn 500M trước rủi ro tai nạn/bão lũ QL9.</t>
        </is>
      </c>
    </row>
  </sheetData>
  <mergeCells count="63">
    <mergeCell ref="B4:L4"/>
    <mergeCell ref="D20:E20"/>
    <mergeCell ref="D10:E10"/>
    <mergeCell ref="H20:I20"/>
    <mergeCell ref="G6:I6"/>
    <mergeCell ref="L7:M7"/>
    <mergeCell ref="D19:E19"/>
    <mergeCell ref="H10:I10"/>
    <mergeCell ref="G26:M26"/>
    <mergeCell ref="B6:E6"/>
    <mergeCell ref="B3:L3"/>
    <mergeCell ref="G29:M29"/>
    <mergeCell ref="D22:E22"/>
    <mergeCell ref="D31:E31"/>
    <mergeCell ref="H9:I9"/>
    <mergeCell ref="L13:M13"/>
    <mergeCell ref="D21:E21"/>
    <mergeCell ref="H25:I25"/>
    <mergeCell ref="B26:E26"/>
    <mergeCell ref="H21:I21"/>
    <mergeCell ref="L12:M12"/>
    <mergeCell ref="G31:M31"/>
    <mergeCell ref="D11:E11"/>
    <mergeCell ref="D13:E13"/>
    <mergeCell ref="D27:E27"/>
    <mergeCell ref="B2:L2"/>
    <mergeCell ref="L8:M8"/>
    <mergeCell ref="D17:E17"/>
    <mergeCell ref="L14:M14"/>
    <mergeCell ref="G27:M27"/>
    <mergeCell ref="H17:I17"/>
    <mergeCell ref="H11:I11"/>
    <mergeCell ref="D16:E16"/>
    <mergeCell ref="D7:E7"/>
    <mergeCell ref="H16:I16"/>
    <mergeCell ref="K6:M6"/>
    <mergeCell ref="H7:I7"/>
    <mergeCell ref="L10:M10"/>
    <mergeCell ref="D28:E28"/>
    <mergeCell ref="H19:I19"/>
    <mergeCell ref="D18:E18"/>
    <mergeCell ref="H22:I22"/>
    <mergeCell ref="D9:E9"/>
    <mergeCell ref="H13:I13"/>
    <mergeCell ref="H14:I14"/>
    <mergeCell ref="G28:M28"/>
    <mergeCell ref="D12:E12"/>
    <mergeCell ref="L9:M9"/>
    <mergeCell ref="D8:E8"/>
    <mergeCell ref="H12:I12"/>
    <mergeCell ref="D24:E24"/>
    <mergeCell ref="D30:E30"/>
    <mergeCell ref="D15:E15"/>
    <mergeCell ref="H24:I24"/>
    <mergeCell ref="D29:E29"/>
    <mergeCell ref="H15:I15"/>
    <mergeCell ref="D23:E23"/>
    <mergeCell ref="H18:I18"/>
    <mergeCell ref="G30:M30"/>
    <mergeCell ref="D14:E14"/>
    <mergeCell ref="L11:M11"/>
    <mergeCell ref="H23:I23"/>
    <mergeCell ref="H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42" customWidth="1" min="3" max="3"/>
    <col width="28" customWidth="1" min="4" max="4"/>
    <col width="25" customWidth="1" min="5" max="5"/>
    <col width="18" customWidth="1" min="6" max="6"/>
    <col width="35" customWidth="1" min="7" max="7"/>
  </cols>
  <sheetData>
    <row r="2">
      <c r="B2" s="1" t="inlineStr">
        <is>
          <t>SỔ CÁI BẢNG GIÁ DỊCH VỤ &amp; CƯỚC VẬN TẢI QUỐC TẾ (MASTER RATE CARDS)</t>
        </is>
      </c>
    </row>
    <row r="4">
      <c r="B4" s="32" t="inlineStr">
        <is>
          <t>1. BẢNG GIÁ CƯỚC VẬN TẢI TUYẾN ĐƯỜNG BỘ &amp; QUÁ CẢNH LÀO</t>
        </is>
      </c>
    </row>
    <row r="5">
      <c r="B5" s="33" t="inlineStr">
        <is>
          <t>Mã tuyến</t>
        </is>
      </c>
      <c r="C5" s="33" t="inlineStr">
        <is>
          <t>Phương tiện</t>
        </is>
      </c>
      <c r="D5" s="33" t="inlineStr">
        <is>
          <t>Lộ trình</t>
        </is>
      </c>
      <c r="E5" s="33" t="inlineStr">
        <is>
          <t>Cước gốc (VNĐ)</t>
        </is>
      </c>
      <c r="F5" s="33" t="inlineStr">
        <is>
          <t>VAT</t>
        </is>
      </c>
      <c r="G5" s="33" t="inlineStr">
        <is>
          <t>Ghi chú &amp; Đơn vị vận tải</t>
        </is>
      </c>
    </row>
    <row r="6">
      <c r="B6" s="34" t="inlineStr">
        <is>
          <t>VT-HOWO-LB</t>
        </is>
      </c>
      <c r="C6" s="34" t="inlineStr">
        <is>
          <t>Xe HOWO 15.6m</t>
        </is>
      </c>
      <c r="D6" s="34" t="inlineStr">
        <is>
          <t>Phú Thọ - Lao Bảo</t>
        </is>
      </c>
      <c r="E6" s="35" t="n">
        <v>22000000</v>
      </c>
      <c r="F6" s="36" t="n">
        <v>0.08</v>
      </c>
      <c r="G6" s="34" t="inlineStr">
        <is>
          <t>Vĩnh Thành Logistics (1,300 thùng)</t>
        </is>
      </c>
    </row>
    <row r="7">
      <c r="B7" s="34" t="inlineStr">
        <is>
          <t>TR-CONT40-SVN</t>
        </is>
      </c>
      <c r="C7" s="34" t="inlineStr">
        <is>
          <t>Cont 40ft HC</t>
        </is>
      </c>
      <c r="D7" s="34" t="inlineStr">
        <is>
          <t>Phú Thọ - Savannakhet (Lào)</t>
        </is>
      </c>
      <c r="E7" s="35" t="n">
        <v>35000000</v>
      </c>
      <c r="F7" s="36" t="n">
        <v>0.08</v>
      </c>
      <c r="G7" s="34" t="inlineStr">
        <is>
          <t>Cước trọn gói 2 chiều quá cảnh (800 thùng)</t>
        </is>
      </c>
    </row>
    <row r="8">
      <c r="B8" s="34" t="inlineStr">
        <is>
          <t>TR-CONT45-SVN</t>
        </is>
      </c>
      <c r="C8" s="34" t="inlineStr">
        <is>
          <t>Cont 45ft HC</t>
        </is>
      </c>
      <c r="D8" s="34" t="inlineStr">
        <is>
          <t>Phú Thọ - Savannakhet (Lào)</t>
        </is>
      </c>
      <c r="E8" s="35" t="n">
        <v>35000000</v>
      </c>
      <c r="F8" s="36" t="n">
        <v>0.08</v>
      </c>
      <c r="G8" s="34" t="inlineStr">
        <is>
          <t>Cước trọn gói 2 chiều quá cảnh (1,000 thùng)</t>
        </is>
      </c>
    </row>
    <row r="9">
      <c r="B9" s="34" t="inlineStr">
        <is>
          <t>TR-CONT40-MKD</t>
        </is>
      </c>
      <c r="C9" s="34" t="inlineStr">
        <is>
          <t>Cont 40ft HC</t>
        </is>
      </c>
      <c r="D9" s="34" t="inlineStr">
        <is>
          <t>Phú Thọ - Mukdahan (Thái Lan)</t>
        </is>
      </c>
      <c r="E9" s="35" t="n">
        <v>38000000</v>
      </c>
      <c r="F9" s="36" t="n">
        <v>0.08</v>
      </c>
      <c r="G9" s="34" t="inlineStr">
        <is>
          <t>Cước sang xe / đổi đầu kéo cầu Hữu Nghị 2</t>
        </is>
      </c>
    </row>
    <row r="10">
      <c r="B10" s="34" t="inlineStr">
        <is>
          <t>TR-CONT45-MKD</t>
        </is>
      </c>
      <c r="C10" s="34" t="inlineStr">
        <is>
          <t>Cont 45ft HC</t>
        </is>
      </c>
      <c r="D10" s="34" t="inlineStr">
        <is>
          <t>Phú Thọ - Mukdahan (Thái Lan)</t>
        </is>
      </c>
      <c r="E10" s="35" t="n">
        <v>38000000</v>
      </c>
      <c r="F10" s="36" t="n">
        <v>0.08</v>
      </c>
      <c r="G10" s="34" t="inlineStr">
        <is>
          <t>Cước sang xe / đổi đầu kéo cầu Hữu Nghị 2</t>
        </is>
      </c>
    </row>
    <row r="13">
      <c r="B13" s="32" t="inlineStr">
        <is>
          <t>2. BIỂU PHÍ THỦ TỤC HẢI QUAN, C/O &amp; CHI PHÍ PHÁT SINH TIỀM ẨN</t>
        </is>
      </c>
    </row>
    <row r="14">
      <c r="B14" s="33" t="inlineStr">
        <is>
          <t>Mã dịch vụ</t>
        </is>
      </c>
      <c r="C14" s="33" t="inlineStr">
        <is>
          <t>Tên dịch vụ</t>
        </is>
      </c>
      <c r="D14" s="33" t="inlineStr">
        <is>
          <t>Đơn vị cung cấp</t>
        </is>
      </c>
      <c r="E14" s="33" t="inlineStr">
        <is>
          <t>Đơn vị tính</t>
        </is>
      </c>
      <c r="F14" s="33" t="inlineStr">
        <is>
          <t>Đơn giá (VNĐ)</t>
        </is>
      </c>
      <c r="G14" s="33" t="inlineStr">
        <is>
          <t>Hóa đơn VAT &amp; Điều kiện</t>
        </is>
      </c>
    </row>
    <row r="15">
      <c r="B15" s="34" t="inlineStr">
        <is>
          <t>BA-HQ-VN</t>
        </is>
      </c>
      <c r="C15" s="34" t="inlineStr">
        <is>
          <t>Thủ tục Hải quan tại cửa khẩu Lao Bảo (B11)</t>
        </is>
      </c>
      <c r="D15" s="34" t="inlineStr">
        <is>
          <t>Bình An Logistics</t>
        </is>
      </c>
      <c r="E15" s="34" t="inlineStr">
        <is>
          <t>Bộ</t>
        </is>
      </c>
      <c r="F15" s="35" t="n">
        <v>3000000</v>
      </c>
      <c r="G15" s="34" t="inlineStr">
        <is>
          <t>Hóa đơn VAT 8% (Mục 1 HĐ 269901)</t>
        </is>
      </c>
    </row>
    <row r="16">
      <c r="B16" s="34" t="inlineStr">
        <is>
          <t>BA-CO-FORMD</t>
        </is>
      </c>
      <c r="C16" s="34" t="inlineStr">
        <is>
          <t>Phí dịch vụ xin C/O Form D (eCoSys)</t>
        </is>
      </c>
      <c r="D16" s="34" t="inlineStr">
        <is>
          <t>Bình An Logistics</t>
        </is>
      </c>
      <c r="E16" s="34" t="inlineStr">
        <is>
          <t>Bộ</t>
        </is>
      </c>
      <c r="F16" s="35" t="n">
        <v>1000000</v>
      </c>
      <c r="G16" s="34" t="inlineStr">
        <is>
          <t>Hóa đơn VAT 8% (Mục 6 HĐ 269901)</t>
        </is>
      </c>
    </row>
    <row r="17">
      <c r="B17" s="34" t="inlineStr">
        <is>
          <t>BA-BIEN-PHONG</t>
        </is>
      </c>
      <c r="C17" s="34" t="inlineStr">
        <is>
          <t>Phí dịch vụ làm hàng: Biên phòng &amp; bãi 32BBG02</t>
        </is>
      </c>
      <c r="D17" s="34" t="inlineStr">
        <is>
          <t>Bình An Logistics</t>
        </is>
      </c>
      <c r="E17" s="34" t="inlineStr">
        <is>
          <t>Chuyến</t>
        </is>
      </c>
      <c r="F17" s="35" t="n">
        <v>1500000</v>
      </c>
      <c r="G17" s="34" t="inlineStr">
        <is>
          <t>Hóa đơn VAT 8% (Mục 3 HĐ 269901)</t>
        </is>
      </c>
    </row>
    <row r="18">
      <c r="B18" s="34" t="inlineStr">
        <is>
          <t>BA-TRANSIT-LAO</t>
        </is>
      </c>
      <c r="C18" s="34" t="inlineStr">
        <is>
          <t>Phí làm thủ tục transit xe Lào (Bình An)</t>
        </is>
      </c>
      <c r="D18" s="34" t="inlineStr">
        <is>
          <t>Bình An Logistics</t>
        </is>
      </c>
      <c r="E18" s="34" t="inlineStr">
        <is>
          <t>Xe</t>
        </is>
      </c>
      <c r="F18" s="35" t="n">
        <v>2000000</v>
      </c>
      <c r="G18" s="34" t="inlineStr">
        <is>
          <t>Hóa đơn VAT 8% (Mục 4 HĐ 269901)</t>
        </is>
      </c>
    </row>
    <row r="19">
      <c r="B19" s="34" t="inlineStr">
        <is>
          <t>BA-KIEM-HOA</t>
        </is>
      </c>
      <c r="C19" s="34" t="inlineStr">
        <is>
          <t>Phí kiểm hóa bãi Lao Bảo (Luồng Vàng/Đỏ)</t>
        </is>
      </c>
      <c r="D19" s="34" t="inlineStr">
        <is>
          <t>Bình An Logistics</t>
        </is>
      </c>
      <c r="E19" s="34" t="inlineStr">
        <is>
          <t>Chuyến</t>
        </is>
      </c>
      <c r="F19" s="35" t="n">
        <v>1000000</v>
      </c>
      <c r="G19" s="34" t="inlineStr">
        <is>
          <t>Hóa đơn VAT 8% (Mục 2 HĐ 269901)</t>
        </is>
      </c>
    </row>
    <row r="20">
      <c r="B20" s="34" t="inlineStr">
        <is>
          <t>BA-KIEM-HOA-OT</t>
        </is>
      </c>
      <c r="C20" s="34" t="inlineStr">
        <is>
          <t>Phí kiểm hóa ngoài giờ hành chính</t>
        </is>
      </c>
      <c r="D20" s="34" t="inlineStr">
        <is>
          <t>Bình An Logistics</t>
        </is>
      </c>
      <c r="E20" s="34" t="inlineStr">
        <is>
          <t>Chuyến</t>
        </is>
      </c>
      <c r="F20" s="35" t="n">
        <v>2000000</v>
      </c>
      <c r="G20" s="34" t="inlineStr">
        <is>
          <t>Hóa đơn VAT 8% (Mục 5 HĐ 269901)</t>
        </is>
      </c>
    </row>
    <row r="21">
      <c r="B21" s="34" t="inlineStr">
        <is>
          <t>BA-CO-EXPRESS</t>
        </is>
      </c>
      <c r="C21" s="34" t="inlineStr">
        <is>
          <t>Phí dịch vụ duyệt C/O nhanh ngoài giờ</t>
        </is>
      </c>
      <c r="D21" s="34" t="inlineStr">
        <is>
          <t>Bình An Logistics</t>
        </is>
      </c>
      <c r="E21" s="34" t="inlineStr">
        <is>
          <t>Bộ</t>
        </is>
      </c>
      <c r="F21" s="35" t="n">
        <v>2000000</v>
      </c>
      <c r="G21" s="34" t="inlineStr">
        <is>
          <t>Hóa đơn VAT 8% (Mục 8 HĐ 269901)</t>
        </is>
      </c>
    </row>
    <row r="22">
      <c r="B22" s="34" t="inlineStr">
        <is>
          <t>BA-THUONG-NHAN</t>
        </is>
      </c>
      <c r="C22" s="34" t="inlineStr">
        <is>
          <t>Phí đăng ký duyệt hồ sơ thương nhân eCoSys</t>
        </is>
      </c>
      <c r="D22" s="34" t="inlineStr">
        <is>
          <t>Bình An Logistics</t>
        </is>
      </c>
      <c r="E22" s="34" t="inlineStr">
        <is>
          <t>Lần đầu</t>
        </is>
      </c>
      <c r="F22" s="35" t="n">
        <v>800000</v>
      </c>
      <c r="G22" s="34" t="inlineStr">
        <is>
          <t>Hóa đơn VAT 8% (Phát sinh 1 lần)</t>
        </is>
      </c>
    </row>
    <row r="23">
      <c r="B23" s="34" t="inlineStr">
        <is>
          <t>NH-TRANSIT-LAO</t>
        </is>
      </c>
      <c r="C23" s="34" t="inlineStr">
        <is>
          <t>Tờ khai quá cảnh Lào (D8/T1) &amp; Bảo lãnh</t>
        </is>
      </c>
      <c r="D23" s="34" t="inlineStr">
        <is>
          <t>Ngân Hùng Logistics</t>
        </is>
      </c>
      <c r="E23" s="34" t="inlineStr">
        <is>
          <t>Bộ</t>
        </is>
      </c>
      <c r="F23" s="35" t="n">
        <v>3500000</v>
      </c>
      <c r="G23" s="34" t="inlineStr">
        <is>
          <t>Hóa đơn dịch vụ vận tải quốc tế</t>
        </is>
      </c>
    </row>
    <row r="24">
      <c r="B24" s="34" t="inlineStr">
        <is>
          <t>NH-CHIKIEP</t>
        </is>
      </c>
      <c r="C24" s="34" t="inlineStr">
        <is>
          <t>Niêm phong kẹp chì quá cảnh Lào</t>
        </is>
      </c>
      <c r="D24" s="34" t="inlineStr">
        <is>
          <t>Ngân Hùng Logistics</t>
        </is>
      </c>
      <c r="E24" s="34" t="inlineStr">
        <is>
          <t>Cont</t>
        </is>
      </c>
      <c r="F24" s="35" t="n">
        <v>800000</v>
      </c>
      <c r="G24" s="34" t="inlineStr">
        <is>
          <t>Chứng từ thu lệ phí cửa khẩu</t>
        </is>
      </c>
    </row>
    <row r="25">
      <c r="B25" s="34" t="inlineStr">
        <is>
          <t>AT-LOLO-CONT</t>
        </is>
      </c>
      <c r="C25" s="34" t="inlineStr">
        <is>
          <t>Cẩu bãi &amp; nâng hạ cont (LOLO fee)</t>
        </is>
      </c>
      <c r="D25" s="34" t="inlineStr">
        <is>
          <t>Anh Tân Logistics</t>
        </is>
      </c>
      <c r="E25" s="34" t="inlineStr">
        <is>
          <t>Lượt (x2)</t>
        </is>
      </c>
      <c r="F25" s="35" t="n">
        <v>2000000</v>
      </c>
      <c r="G25" s="34" t="inlineStr">
        <is>
          <t>Biên bản xác nhận bãi Savannakhet</t>
        </is>
      </c>
    </row>
    <row r="26">
      <c r="B26" s="34" t="inlineStr">
        <is>
          <t>AT-CROSS-DOCK</t>
        </is>
      </c>
      <c r="C26" s="34" t="inlineStr">
        <is>
          <t>Sang xe chuyển tải tại Cảng cạn Savannakhet</t>
        </is>
      </c>
      <c r="D26" s="34" t="inlineStr">
        <is>
          <t>Đội bốc vác bãi</t>
        </is>
      </c>
      <c r="E26" s="34" t="inlineStr">
        <is>
          <t>Chuyến</t>
        </is>
      </c>
      <c r="F26" s="35" t="n">
        <v>2000000</v>
      </c>
      <c r="G26" s="34" t="inlineStr">
        <is>
          <t>Rút ruột sang xe tải Thái Lan</t>
        </is>
      </c>
    </row>
    <row r="27">
      <c r="B27" s="34" t="inlineStr">
        <is>
          <t>DEMURRAGE-CONT</t>
        </is>
      </c>
      <c r="C27" s="34" t="inlineStr">
        <is>
          <t>Phạt lưu ca xe cont sau 48h (CPT Lào)</t>
        </is>
      </c>
      <c r="D27" s="34" t="inlineStr">
        <is>
          <t>Vĩnh Thành Logistics</t>
        </is>
      </c>
      <c r="E27" s="34" t="inlineStr">
        <is>
          <t>Ngày</t>
        </is>
      </c>
      <c r="F27" s="35" t="n">
        <v>3000000</v>
      </c>
      <c r="G27" s="34" t="inlineStr">
        <is>
          <t>Quá 48 tiếng free-time tại bãi Lào</t>
        </is>
      </c>
    </row>
    <row r="28">
      <c r="B28" s="34" t="inlineStr">
        <is>
          <t>DEMURRAGE-HOWO-DOM</t>
        </is>
      </c>
      <c r="C28" s="34" t="inlineStr">
        <is>
          <t>Phạt lưu xe HOWO nội địa (kho/dọc đường)</t>
        </is>
      </c>
      <c r="D28" s="34" t="inlineStr">
        <is>
          <t>Vĩnh Thành Logistics</t>
        </is>
      </c>
      <c r="E28" s="34" t="inlineStr">
        <is>
          <t>Ngày</t>
        </is>
      </c>
      <c r="F28" s="35" t="n">
        <v>2000000</v>
      </c>
      <c r="G28" s="34" t="inlineStr">
        <is>
          <t>Lưu xe tại kho đóng hàng Phú Thọ / dọc đường</t>
        </is>
      </c>
    </row>
    <row r="29">
      <c r="B29" s="34" t="inlineStr">
        <is>
          <t>DEMURRAGE-HOWO-CK</t>
        </is>
      </c>
      <c r="C29" s="34" t="inlineStr">
        <is>
          <t>Phí lưu xe HOWO tại Cửa khẩu Lao Bảo</t>
        </is>
      </c>
      <c r="D29" s="34" t="inlineStr">
        <is>
          <t>Vĩnh Thành Logistics</t>
        </is>
      </c>
      <c r="E29" s="34" t="inlineStr">
        <is>
          <t>Ngày</t>
        </is>
      </c>
      <c r="F29" s="35" t="n">
        <v>2500000</v>
      </c>
      <c r="G29" s="34" t="inlineStr">
        <is>
          <t>Lưu xe tại bãi kiểm hóa Cửa khẩu Lao Bảo (32BBG02)</t>
        </is>
      </c>
    </row>
    <row r="30">
      <c r="B30" s="34" t="inlineStr">
        <is>
          <t>CARGO-INSURANCE</t>
        </is>
      </c>
      <c r="C30" s="34" t="inlineStr">
        <is>
          <t>Bảo hiểm hàng hóa quốc tế đường bộ</t>
        </is>
      </c>
      <c r="D30" s="34" t="inlineStr">
        <is>
          <t>Bảo Việt / PVI</t>
        </is>
      </c>
      <c r="E30" s="34" t="inlineStr">
        <is>
          <t>Lô hàng</t>
        </is>
      </c>
      <c r="F30" s="35" t="n">
        <v>940000</v>
      </c>
      <c r="G30" s="34" t="inlineStr">
        <is>
          <t>Tỷ lệ 0.2% bảo vệ vốn 500M</t>
        </is>
      </c>
    </row>
    <row r="31">
      <c r="B31" s="34" t="inlineStr">
        <is>
          <t>DUNNAGE-PACK</t>
        </is>
      </c>
      <c r="C31" s="34" t="inlineStr">
        <is>
          <t>Vật tư chèn lót túi khí &amp; bốc xếp kho</t>
        </is>
      </c>
      <c r="D31" s="34" t="inlineStr">
        <is>
          <t>Kho / Đội bốc</t>
        </is>
      </c>
      <c r="E31" s="34" t="inlineStr">
        <is>
          <t>Xe</t>
        </is>
      </c>
      <c r="F31" s="35" t="n">
        <v>800000</v>
      </c>
      <c r="G31" s="34" t="inlineStr">
        <is>
          <t>Chống bẹp cốc, đổ vỡ QL9</t>
        </is>
      </c>
    </row>
    <row r="32">
      <c r="B32" s="34" t="inlineStr">
        <is>
          <t>WEIGHBRIDGE-FEE</t>
        </is>
      </c>
      <c r="C32" s="34" t="inlineStr">
        <is>
          <t>Phí Cân xe tải trọng bãi Lao Bảo</t>
        </is>
      </c>
      <c r="D32" s="34" t="inlineStr">
        <is>
          <t>Trạm cân Lao Bảo</t>
        </is>
      </c>
      <c r="E32" s="34" t="inlineStr">
        <is>
          <t>Lượt</t>
        </is>
      </c>
      <c r="F32" s="35" t="n">
        <v>200000</v>
      </c>
      <c r="G32" s="34" t="inlineStr">
        <is>
          <t>Phiếu cân xe nộp HQ &amp; Biên phòng</t>
        </is>
      </c>
    </row>
    <row r="33">
      <c r="B33" s="34" t="inlineStr">
        <is>
          <t>BANK-FEE-INTL</t>
        </is>
      </c>
      <c r="C33" s="34" t="inlineStr">
        <is>
          <t>Phí báo ngoại tệ &amp; Điện chuyển tiền</t>
        </is>
      </c>
      <c r="D33" s="34" t="inlineStr">
        <is>
          <t>MB Bank / VCB</t>
        </is>
      </c>
      <c r="E33" s="34" t="inlineStr">
        <is>
          <t>Lần TT</t>
        </is>
      </c>
      <c r="F33" s="35" t="n">
        <v>1212130</v>
      </c>
      <c r="G33" s="34" t="inlineStr">
        <is>
          <t>$47 USD x 25,790 VND (Sổ phụ NH)</t>
        </is>
      </c>
    </row>
  </sheetData>
  <mergeCells count="3">
    <mergeCell ref="B2:G2"/>
    <mergeCell ref="B4:G4"/>
    <mergeCell ref="B13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</cols>
  <sheetData>
    <row r="2">
      <c r="B2" s="1" t="inlineStr">
        <is>
          <t>TỪ ĐIỂN KỸ THUẬT PHƯƠNG TIỆN &amp; BẢN CHẤT BẪY THỂ TÍCH (THE VOLUME TRAP)</t>
        </is>
      </c>
    </row>
    <row r="4">
      <c r="B4" s="32" t="inlineStr">
        <is>
          <t>ĐỐI CHIẾU SỨC CHỨA SẢN PHẨM SNACK QUẨY GIÒN GIÒN (0.0785 M³/THÙNG - 8.5 KG/THÙNG)</t>
        </is>
      </c>
    </row>
    <row r="5">
      <c r="B5" s="33" t="inlineStr">
        <is>
          <t>Loại phương tiện</t>
        </is>
      </c>
      <c r="C5" s="33" t="inlineStr">
        <is>
          <t>Dài x Rộng x Cao (m)</t>
        </is>
      </c>
      <c r="D5" s="33" t="inlineStr">
        <is>
          <t>Thể tích định mức</t>
        </is>
      </c>
      <c r="E5" s="33" t="inlineStr">
        <is>
          <t>Thể tích khả dụng</t>
        </is>
      </c>
      <c r="F5" s="33" t="inlineStr">
        <is>
          <t>Số thùng tối đa</t>
        </is>
      </c>
      <c r="G5" s="33" t="inlineStr">
        <is>
          <t>Gross Weight (tấn)</t>
        </is>
      </c>
      <c r="H5" s="33" t="inlineStr">
        <is>
          <t>Tải trọng tối đa</t>
        </is>
      </c>
      <c r="I5" s="33" t="inlineStr">
        <is>
          <t>Hạn chế hạt nhân</t>
        </is>
      </c>
    </row>
    <row r="6">
      <c r="B6" s="7" t="inlineStr">
        <is>
          <t>Xe HOWO 15.6m Thùng Kín</t>
        </is>
      </c>
      <c r="C6" s="37" t="inlineStr">
        <is>
          <t>15.6 x 2.45 x 2.85</t>
        </is>
      </c>
      <c r="D6" s="37" t="inlineStr">
        <is>
          <t>108.8 m³</t>
        </is>
      </c>
      <c r="E6" s="37" t="inlineStr">
        <is>
          <t>102.0 m³</t>
        </is>
      </c>
      <c r="F6" s="38" t="n">
        <v>1300</v>
      </c>
      <c r="G6" s="37" t="n">
        <v>11.05</v>
      </c>
      <c r="H6" s="37" t="n">
        <v>30</v>
      </c>
      <c r="I6" s="37" t="inlineStr">
        <is>
          <t>Đầy thể tích (Hàng nhẹ)</t>
        </is>
      </c>
    </row>
    <row r="7">
      <c r="B7" s="7" t="inlineStr">
        <is>
          <t>Container 20ft GP (Tiêu chuẩn)</t>
        </is>
      </c>
      <c r="C7" s="37" t="inlineStr">
        <is>
          <t>5.90 x 2.35 x 2.39</t>
        </is>
      </c>
      <c r="D7" s="37" t="inlineStr">
        <is>
          <t>33.2 m³</t>
        </is>
      </c>
      <c r="E7" s="37" t="inlineStr">
        <is>
          <t>28.0 m³</t>
        </is>
      </c>
      <c r="F7" s="38" t="n">
        <v>350</v>
      </c>
      <c r="G7" s="37" t="n">
        <v>2.98</v>
      </c>
      <c r="H7" s="37" t="n">
        <v>25</v>
      </c>
      <c r="I7" s="37" t="inlineStr">
        <is>
          <t>Không kinh tế, quá nhỏ</t>
        </is>
      </c>
    </row>
    <row r="8">
      <c r="B8" s="7" t="inlineStr">
        <is>
          <t>Container 40ft GP (Tiêu chuẩn)</t>
        </is>
      </c>
      <c r="C8" s="37" t="inlineStr">
        <is>
          <t>12.03 x 2.35 x 2.39</t>
        </is>
      </c>
      <c r="D8" s="37" t="inlineStr">
        <is>
          <t>67.7 m³</t>
        </is>
      </c>
      <c r="E8" s="37" t="inlineStr">
        <is>
          <t>58.0 m³</t>
        </is>
      </c>
      <c r="F8" s="38" t="n">
        <v>720</v>
      </c>
      <c r="G8" s="37" t="n">
        <v>6.12</v>
      </c>
      <c r="H8" s="37" t="n">
        <v>26.5</v>
      </c>
      <c r="I8" s="37" t="inlineStr">
        <is>
          <t>Không nên dùng</t>
        </is>
      </c>
    </row>
    <row r="9">
      <c r="B9" s="7" t="inlineStr">
        <is>
          <t>Container 40ft HC (High Cube)</t>
        </is>
      </c>
      <c r="C9" s="37" t="inlineStr">
        <is>
          <t>12.03 x 2.35 x 2.69</t>
        </is>
      </c>
      <c r="D9" s="37" t="inlineStr">
        <is>
          <t>76.4 m³</t>
        </is>
      </c>
      <c r="E9" s="37" t="inlineStr">
        <is>
          <t>69.0 m³</t>
        </is>
      </c>
      <c r="F9" s="38" t="n">
        <v>800</v>
      </c>
      <c r="G9" s="37" t="n">
        <v>6.8</v>
      </c>
      <c r="H9" s="37" t="n">
        <v>26.5</v>
      </c>
      <c r="I9" s="37" t="inlineStr">
        <is>
          <t>Bẫy thể tích: Chỉ 800 thùng!</t>
        </is>
      </c>
    </row>
    <row r="10">
      <c r="B10" s="7" t="inlineStr">
        <is>
          <t>Container 45ft HC (High Cube)</t>
        </is>
      </c>
      <c r="C10" s="37" t="inlineStr">
        <is>
          <t>13.56 x 2.35 x 2.69</t>
        </is>
      </c>
      <c r="D10" s="37" t="inlineStr">
        <is>
          <t>86.0 m³</t>
        </is>
      </c>
      <c r="E10" s="37" t="inlineStr">
        <is>
          <t>81.0 m³</t>
        </is>
      </c>
      <c r="F10" s="38" t="n">
        <v>1000</v>
      </c>
      <c r="G10" s="37" t="n">
        <v>8.5</v>
      </c>
      <c r="H10" s="37" t="n">
        <v>27.5</v>
      </c>
      <c r="I10" s="37" t="inlineStr">
        <is>
          <t>Tối ưu nhất cho cont (1,000 thùng)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1" workbookViewId="0">
      <selection activeCell="A1" sqref="A1"/>
    </sheetView>
  </sheetViews>
  <sheetFormatPr baseColWidth="8" defaultRowHeight="15"/>
  <cols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32" customWidth="1" min="7" max="7"/>
  </cols>
  <sheetData>
    <row r="2">
      <c r="B2" s="1" t="inlineStr">
        <is>
          <t>MA TRẬN SO SÁNH ĐỐI ĐẦU 4 KỊCH BẢN XUẤT KHẨU (SCENARIO MATRIX)</t>
        </is>
      </c>
    </row>
    <row r="3">
      <c r="B3" s="2" t="inlineStr">
        <is>
          <t>PHÂN TÍCH ĐỘ NHẠY CHI PHÍ VẬN TẢI, LƯU CA VÀ MỨC GIÁ BÁN TỐI THIỂU CẦN ĐÀM PHÁN</t>
        </is>
      </c>
    </row>
    <row r="5">
      <c r="B5" s="39" t="inlineStr">
        <is>
          <t>CHỈ TIÊU KINH TẾ &amp; TÀI CHÍNH</t>
        </is>
      </c>
      <c r="C5" s="40" t="inlineStr">
        <is>
          <t>KỊCH BẢN 1
(ĐƠN 269901 GỐC)</t>
        </is>
      </c>
      <c r="D5" s="40" t="inlineStr">
        <is>
          <t>KỊCH BẢN 2
(CONT 40ft CHUẨN)</t>
        </is>
      </c>
      <c r="E5" s="40" t="inlineStr">
        <is>
          <t>KỊCH BẢN 3
(CONT 45ft LƯU CA 1D)</t>
        </is>
      </c>
      <c r="F5" s="40" t="inlineStr">
        <is>
          <t>KỊCH BẢN 4
(CONT 40ft RỦI RO 3D)</t>
        </is>
      </c>
      <c r="G5" s="40" t="inlineStr">
        <is>
          <t>KẾT LUẬN CHIẾN LƯỢC CFO</t>
        </is>
      </c>
    </row>
    <row r="6">
      <c r="B6" s="11" t="inlineStr">
        <is>
          <t>Điều kiện giao hàng Incoterms 2020</t>
        </is>
      </c>
      <c r="C6" s="37" t="inlineStr">
        <is>
          <t>FCA Lao Bao</t>
        </is>
      </c>
      <c r="D6" s="37" t="inlineStr">
        <is>
          <t>CPT Savannakhet</t>
        </is>
      </c>
      <c r="E6" s="37" t="inlineStr">
        <is>
          <t>CPT Savannakhet</t>
        </is>
      </c>
      <c r="F6" s="37" t="inlineStr">
        <is>
          <t>CPT Savannakhet</t>
        </is>
      </c>
      <c r="G6" s="9" t="inlineStr">
        <is>
          <t>Chuyển giao rủi ro khác nhau</t>
        </is>
      </c>
    </row>
    <row r="7">
      <c r="B7" s="11" t="inlineStr">
        <is>
          <t>Loại phương tiện &amp; Thiết bị</t>
        </is>
      </c>
      <c r="C7" s="37" t="inlineStr">
        <is>
          <t>Xe HOWO 15.6m</t>
        </is>
      </c>
      <c r="D7" s="37" t="inlineStr">
        <is>
          <t>Cont 40ft HC</t>
        </is>
      </c>
      <c r="E7" s="37" t="inlineStr">
        <is>
          <t>Cont 45ft HC</t>
        </is>
      </c>
      <c r="F7" s="37" t="inlineStr">
        <is>
          <t>Cont 40ft HC</t>
        </is>
      </c>
      <c r="G7" s="9" t="inlineStr">
        <is>
          <t>Thể tích khả dụng chênh lệch</t>
        </is>
      </c>
    </row>
    <row r="8">
      <c r="B8" s="11" t="inlineStr">
        <is>
          <t>Số lượng thùng xuất khẩu</t>
        </is>
      </c>
      <c r="C8" s="37" t="n">
        <v>1300</v>
      </c>
      <c r="D8" s="37" t="n">
        <v>800</v>
      </c>
      <c r="E8" s="37" t="n">
        <v>1000</v>
      </c>
      <c r="F8" s="37" t="n">
        <v>800</v>
      </c>
      <c r="G8" s="9" t="inlineStr">
        <is>
          <t>Cont 40ft chở ít hơn 500 thùng</t>
        </is>
      </c>
    </row>
    <row r="9">
      <c r="B9" s="11" t="inlineStr">
        <is>
          <t>Số ngày lưu ca phát sinh (vượt 48h)</t>
        </is>
      </c>
      <c r="C9" s="13" t="n">
        <v>0</v>
      </c>
      <c r="D9" s="13" t="n">
        <v>0</v>
      </c>
      <c r="E9" s="13" t="n">
        <v>1</v>
      </c>
      <c r="F9" s="13" t="n">
        <v>3</v>
      </c>
      <c r="G9" s="9" t="inlineStr">
        <is>
          <t>Mỗi ngày lưu ca phạt 3.0M</t>
        </is>
      </c>
    </row>
    <row r="10">
      <c r="B10" s="11" t="inlineStr">
        <is>
          <t>Tỷ giá hạch toán Mua CK MB Bank (VNĐ)</t>
        </is>
      </c>
      <c r="C10" s="13" t="n">
        <v>25790</v>
      </c>
      <c r="D10" s="13" t="n">
        <v>25790</v>
      </c>
      <c r="E10" s="13" t="n">
        <v>25790</v>
      </c>
      <c r="F10" s="13" t="n">
        <v>25790</v>
      </c>
      <c r="G10" s="9" t="inlineStr">
        <is>
          <t>Chuẩn tỷ giá thực nhận</t>
        </is>
      </c>
    </row>
    <row r="11">
      <c r="B11" s="11" t="inlineStr">
        <is>
          <t>Giá vốn mua hàng chưa VAT (VNĐ)</t>
        </is>
      </c>
      <c r="C11" s="13">
        <f>C7*337000</f>
        <v/>
      </c>
      <c r="D11" s="13">
        <f>D7*337000</f>
        <v/>
      </c>
      <c r="E11" s="13">
        <f>E7*337000</f>
        <v/>
      </c>
      <c r="F11" s="13">
        <f>F7*337000</f>
        <v/>
      </c>
      <c r="G11" s="9" t="inlineStr">
        <is>
          <t>Đơn giá mua 337,000 đ/thùng SSOT</t>
        </is>
      </c>
    </row>
    <row r="12">
      <c r="B12" s="11" t="inlineStr">
        <is>
          <t>Quỹ hoàn thuế GTGT 8% TK 1331 (VNĐ)</t>
        </is>
      </c>
      <c r="C12" s="13">
        <f>C10*0.08</f>
        <v/>
      </c>
      <c r="D12" s="13">
        <f>D10*0.08</f>
        <v/>
      </c>
      <c r="E12" s="13">
        <f>E10*0.08</f>
        <v/>
      </c>
      <c r="F12" s="13">
        <f>F10*0.08</f>
        <v/>
      </c>
      <c r="G12" s="9" t="inlineStr">
        <is>
          <t>Tài sản công nợ thuế của GSS</t>
        </is>
      </c>
    </row>
    <row r="13">
      <c r="B13" s="11" t="inlineStr">
        <is>
          <t>Cước vận tải xe / cont (VNĐ)</t>
        </is>
      </c>
      <c r="C13" s="13" t="n">
        <v>22000000</v>
      </c>
      <c r="D13" s="13" t="n">
        <v>35000000</v>
      </c>
      <c r="E13" s="13" t="n">
        <v>35000000</v>
      </c>
      <c r="F13" s="13" t="n">
        <v>35000000</v>
      </c>
      <c r="G13" s="9" t="inlineStr">
        <is>
          <t>Cước cont đi Lào cao hơn</t>
        </is>
      </c>
    </row>
    <row r="14">
      <c r="B14" s="11" t="inlineStr">
        <is>
          <t>Tiền phạt lưu ca xe cont (VNĐ)</t>
        </is>
      </c>
      <c r="C14" s="13" t="n">
        <v>0</v>
      </c>
      <c r="D14" s="13" t="n">
        <v>0</v>
      </c>
      <c r="E14" s="13" t="n">
        <v>3000000</v>
      </c>
      <c r="F14" s="13" t="n">
        <v>9000000</v>
      </c>
      <c r="G14" s="9" t="inlineStr">
        <is>
          <t>Lưu ca ngâm bãi sau 48h (3M/ngày)</t>
        </is>
      </c>
    </row>
    <row r="15">
      <c r="B15" s="11" t="inlineStr">
        <is>
          <t>Phí cẩu bãi LOLO + Hải quan + Quá cảnh</t>
        </is>
      </c>
      <c r="C15" s="13" t="n">
        <v>5500000</v>
      </c>
      <c r="D15" s="13" t="n">
        <v>9300000</v>
      </c>
      <c r="E15" s="13" t="n">
        <v>9300000</v>
      </c>
      <c r="F15" s="13" t="n">
        <v>9300000</v>
      </c>
      <c r="G15" s="9" t="inlineStr">
        <is>
          <t>Chi phí thủ tục &amp; nâng hạ</t>
        </is>
      </c>
    </row>
    <row r="16">
      <c r="B16" s="11" t="inlineStr">
        <is>
          <t>Bảo hiểm hàng hóa quốc tế 0.2% (VNĐ)</t>
        </is>
      </c>
      <c r="C16" s="13">
        <f>C10*0.002</f>
        <v/>
      </c>
      <c r="D16" s="13">
        <f>D10*0.002</f>
        <v/>
      </c>
      <c r="E16" s="13">
        <f>E10*0.002</f>
        <v/>
      </c>
      <c r="F16" s="13">
        <f>F10*0.002</f>
        <v/>
      </c>
      <c r="G16" s="9" t="inlineStr">
        <is>
          <t>Bảo hiểm rủi ro đường bộ QL9</t>
        </is>
      </c>
    </row>
    <row r="17">
      <c r="B17" s="7" t="inlineStr">
        <is>
          <t>Phí tài chính ngân hàng ngoại tệ (VNĐ)</t>
        </is>
      </c>
      <c r="C17" s="41" t="n">
        <v>2424260</v>
      </c>
      <c r="D17" s="41" t="n">
        <v>2424260</v>
      </c>
      <c r="E17" s="41" t="n">
        <v>2424260</v>
      </c>
      <c r="F17" s="41" t="n">
        <v>2424260</v>
      </c>
      <c r="G17" s="9" t="inlineStr">
        <is>
          <t>$94 USD x 2 đợt thanh toán</t>
        </is>
      </c>
    </row>
    <row r="18">
      <c r="B18" s="7" t="inlineStr">
        <is>
          <t>TỔNG CHI PHÍ LOGISTICS THỰC CHI (VNĐ)</t>
        </is>
      </c>
      <c r="C18" s="41">
        <f>SUM(C12:C16)</f>
        <v/>
      </c>
      <c r="D18" s="41">
        <f>SUM(D12:D16)</f>
        <v/>
      </c>
      <c r="E18" s="41">
        <f>SUM(E12:E16)</f>
        <v/>
      </c>
      <c r="F18" s="41">
        <f>SUM(F12:F16)</f>
        <v/>
      </c>
      <c r="G18" s="9" t="inlineStr">
        <is>
          <t>Chi phí logistics tổng thể</t>
        </is>
      </c>
    </row>
    <row r="19">
      <c r="B19" s="7" t="inlineStr">
        <is>
          <t>CHI PHÍ LOGISTICS / THÙNG (VNĐ/thùng)</t>
        </is>
      </c>
      <c r="C19" s="29">
        <f>C17/C7</f>
        <v/>
      </c>
      <c r="D19" s="29">
        <f>D17/D7</f>
        <v/>
      </c>
      <c r="E19" s="29">
        <f>E17/E7</f>
        <v/>
      </c>
      <c r="F19" s="29">
        <f>F17/F7</f>
        <v/>
      </c>
      <c r="G19" s="9" t="inlineStr">
        <is>
          <t>So sánh độ đắt đỏ/thùng</t>
        </is>
      </c>
    </row>
    <row r="20">
      <c r="B20" s="11" t="inlineStr">
        <is>
          <t>CHI PHÍ LOGISTICS / THÙNG (USD/thùng)</t>
        </is>
      </c>
      <c r="C20" s="42">
        <f>C18/C9</f>
        <v/>
      </c>
      <c r="D20" s="42">
        <f>D18/D9</f>
        <v/>
      </c>
      <c r="E20" s="42">
        <f>E18/E9</f>
        <v/>
      </c>
      <c r="F20" s="42">
        <f>F18/F9</f>
        <v/>
      </c>
      <c r="G20" s="9" t="inlineStr">
        <is>
          <t>Cont 40ft đắt hơn +$1.03 USD</t>
        </is>
      </c>
    </row>
    <row r="21">
      <c r="B21" s="43" t="inlineStr">
        <is>
          <t>--- SO SÁNH NẾU ĐỒNG LOẠT BÁN $15.80 USD ---</t>
        </is>
      </c>
      <c r="C21" s="44" t="n"/>
      <c r="D21" s="44" t="n"/>
      <c r="E21" s="44" t="n"/>
      <c r="F21" s="44" t="n"/>
      <c r="G21" s="45" t="n"/>
    </row>
    <row r="22">
      <c r="B22" s="7" t="inlineStr">
        <is>
          <t>Doanh thu quy đổi tại giá $15.80 USD (VNĐ)</t>
        </is>
      </c>
      <c r="C22" s="41">
        <f>C7*15.8*C9</f>
        <v/>
      </c>
      <c r="D22" s="46">
        <f>D7*15.8*D9</f>
        <v/>
      </c>
      <c r="E22" s="41">
        <f>E7*15.8*E9</f>
        <v/>
      </c>
      <c r="F22" s="46">
        <f>F7*15.8*F9</f>
        <v/>
      </c>
      <c r="G22" s="9" t="inlineStr">
        <is>
          <t>Cùng áp giá đơn 269901</t>
        </is>
      </c>
    </row>
    <row r="23">
      <c r="B23" s="7" t="inlineStr">
        <is>
          <t>Lãi dòng tiền tiền tươi Tầng 1 (VNĐ)</t>
        </is>
      </c>
      <c r="C23" s="47">
        <f>C21-C10-C17</f>
        <v/>
      </c>
      <c r="D23" s="18">
        <f>D21-D10-D17</f>
        <v/>
      </c>
      <c r="E23" s="18">
        <f>E21-E10-E17</f>
        <v/>
      </c>
      <c r="F23" s="18">
        <f>F21-F10-F17</f>
        <v/>
      </c>
      <c r="G23" s="9" t="inlineStr">
        <is>
          <t>Cont 40ft bị teo tóp / lỗ nặng!</t>
        </is>
      </c>
    </row>
    <row r="24">
      <c r="B24" s="11" t="inlineStr">
        <is>
          <t>Biên lợi nhuận tiền tươi Tầng 1 (%)</t>
        </is>
      </c>
      <c r="C24" s="42">
        <f>C22/C21</f>
        <v/>
      </c>
      <c r="D24" s="42">
        <f>D22/D21</f>
        <v/>
      </c>
      <c r="E24" s="42">
        <f>E22/E21</f>
        <v/>
      </c>
      <c r="F24" s="42">
        <f>F22/F21</f>
        <v/>
      </c>
      <c r="G24" s="9" t="inlineStr">
        <is>
          <t>HOWO lãi 18.2%, Cont 40ft lỗ</t>
        </is>
      </c>
    </row>
    <row r="25">
      <c r="B25" s="43" t="inlineStr">
        <is>
          <t>--- ĐỊNH GIÁ BÁN TỐI THIỂU CẦN CHÀO NGOẠI TỆ ---</t>
        </is>
      </c>
      <c r="C25" s="44" t="n"/>
      <c r="D25" s="44" t="n"/>
      <c r="E25" s="44" t="n"/>
      <c r="F25" s="44" t="n"/>
      <c r="G25" s="45" t="n"/>
    </row>
    <row r="26">
      <c r="B26" s="7" t="inlineStr">
        <is>
          <t>Giá sàn hòa vốn dòng tiền (USD/thùng)</t>
        </is>
      </c>
      <c r="C26" s="28">
        <f>((C10+C17)/C7)/C9</f>
        <v/>
      </c>
      <c r="D26" s="28">
        <f>((D10+D17)/D7)/D9</f>
        <v/>
      </c>
      <c r="E26" s="28">
        <f>((E10+E17)/E7)/E9</f>
        <v/>
      </c>
      <c r="F26" s="28">
        <f>((F10+F17)/F7)/F9</f>
        <v/>
      </c>
      <c r="G26" s="9" t="inlineStr">
        <is>
          <t>0% Margin hòa vốn tiền mặt</t>
        </is>
      </c>
    </row>
    <row r="27">
      <c r="B27" s="11" t="inlineStr">
        <is>
          <t>Giá đề xuất an toàn đạt lãi 8% (USD/thùng)</t>
        </is>
      </c>
      <c r="C27" s="42">
        <f>(((C10+C17)/C7)/(1-0.08))/C9</f>
        <v/>
      </c>
      <c r="D27" s="42">
        <f>(((D10+D17)/D7)/(1-0.08))/D9</f>
        <v/>
      </c>
      <c r="E27" s="42">
        <f>(((E10+E17)/E7)/(1-0.08))/E9</f>
        <v/>
      </c>
      <c r="F27" s="42">
        <f>(((F10+F17)/F7)/(1-0.08))/F9</f>
        <v/>
      </c>
      <c r="G27" s="9" t="inlineStr">
        <is>
          <t>MỨC GIÁ BẮT BUỘC CHÀO KHÁCH!</t>
        </is>
      </c>
    </row>
  </sheetData>
  <mergeCells count="4">
    <mergeCell ref="B3:G3"/>
    <mergeCell ref="B2:G2"/>
    <mergeCell ref="B21:G21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2026-09-27T17:24:06Z</dcterms:created>
  <dcterms:modified xmlns:dcterms="http://purl.org/dc/terms/" xmlns:xsi="http://www.w3.org/2001/XMLSchema-instance" xsi:type="dcterms:W3CDTF">2026-09-27T17:24:06Z</dcterms:modified>
</cp:coreProperties>
</file>