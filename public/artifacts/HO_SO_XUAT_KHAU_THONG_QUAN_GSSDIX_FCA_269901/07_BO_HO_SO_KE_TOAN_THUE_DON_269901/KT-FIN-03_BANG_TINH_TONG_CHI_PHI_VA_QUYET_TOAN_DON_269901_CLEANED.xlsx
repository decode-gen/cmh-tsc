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DON_HANG_VA_HOAN_THUE" sheetId="1" state="visible" r:id="rId1"/>
    <sheet xmlns:r="http://schemas.openxmlformats.org/officeDocument/2006/relationships" name="DON_269901" sheetId="2" state="visible" r:id="rId2"/>
    <sheet xmlns:r="http://schemas.openxmlformats.org/officeDocument/2006/relationships" name="DON_TEMPLATE" sheetId="3" state="visible" r:id="rId3"/>
    <sheet xmlns:r="http://schemas.openxmlformats.org/officeDocument/2006/relationships" name="SO_HOAN_THUE_TK1331" sheetId="4" state="visible" r:id="rId4"/>
    <sheet xmlns:r="http://schemas.openxmlformats.org/officeDocument/2006/relationships" name="CHECKLIST_4_WAY_MATCHING" sheetId="5" state="visible" r:id="rId5"/>
    <sheet xmlns:r="http://schemas.openxmlformats.org/officeDocument/2006/relationships" name="DONG_BO_MANIFEST_269901" sheetId="6" state="visible" r:id="rId6"/>
    <sheet xmlns:r="http://schemas.openxmlformats.org/officeDocument/2006/relationships" name="HUONG_DAN_SU_DU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đ&quot;"/>
    <numFmt numFmtId="165" formatCode="&quot;$&quot;#,##0.00"/>
  </numFmts>
  <fonts count="14">
    <font>
      <name val="Calibri"/>
      <family val="2"/>
      <color theme="1"/>
      <sz val="11"/>
      <scheme val="minor"/>
    </font>
    <font>
      <name val="Times New Roman"/>
      <b val="1"/>
      <color rgb="001B365D"/>
      <sz val="11"/>
    </font>
    <font>
      <name val="Times New Roman"/>
      <i val="1"/>
      <color rgb="004B5563"/>
      <sz val="9.5"/>
    </font>
    <font>
      <name val="Times New Roman"/>
      <b val="1"/>
      <color rgb="001B365D"/>
      <sz val="14"/>
    </font>
    <font>
      <name val="Times New Roman"/>
      <b val="1"/>
      <color rgb="004B5563"/>
      <sz val="8.5"/>
    </font>
    <font>
      <name val="Times New Roman"/>
      <b val="1"/>
      <color rgb="0015803D"/>
      <sz val="11"/>
    </font>
    <font>
      <name val="Times New Roman"/>
      <b val="1"/>
      <color rgb="00FFFFFF"/>
      <sz val="10.5"/>
    </font>
    <font>
      <name val="Times New Roman"/>
      <b val="1"/>
      <color rgb="001F2937"/>
      <sz val="9.5"/>
    </font>
    <font>
      <name val="Times New Roman"/>
      <color rgb="00111827"/>
      <sz val="9.5"/>
    </font>
    <font>
      <name val="Times New Roman"/>
      <b val="1"/>
      <color rgb="00111827"/>
      <sz val="9.5"/>
    </font>
    <font>
      <name val="Times New Roman"/>
      <i val="1"/>
      <color rgb="004B5563"/>
      <sz val="8.5"/>
    </font>
    <font>
      <name val="Times New Roman"/>
      <b val="1"/>
      <color rgb="001E40AF"/>
      <sz val="9.5"/>
    </font>
    <font>
      <name val="Times New Roman"/>
      <i val="1"/>
      <color rgb="001E40AF"/>
      <sz val="8.5"/>
    </font>
    <font>
      <name val="Times New Roman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2C3E50"/>
        <bgColor rgb="002C3E50"/>
      </patternFill>
    </fill>
    <fill>
      <patternFill patternType="solid">
        <fgColor rgb="00E5E7EB"/>
        <bgColor rgb="00E5E7EB"/>
      </patternFill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  <fill>
      <patternFill patternType="solid">
        <fgColor rgb="00E2E8F0"/>
        <bgColor rgb="00E2E8F0"/>
      </patternFill>
    </fill>
    <fill>
      <patternFill patternType="solid">
        <fgColor rgb="001B365D"/>
        <bgColor rgb="001B365D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1B365D"/>
      </bottom>
    </border>
    <border>
      <left style="dashed">
        <color rgb="0093C5FD"/>
      </left>
      <right style="dashed">
        <color rgb="0093C5FD"/>
      </right>
      <top style="dashed">
        <color rgb="0093C5FD"/>
      </top>
      <bottom style="dashed">
        <color rgb="0093C5FD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B365D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right" vertical="center"/>
    </xf>
    <xf numFmtId="0" fontId="10" fillId="8" borderId="3" applyAlignment="1" pivotButton="0" quotePrefix="0" xfId="0">
      <alignment horizontal="center" vertical="center"/>
    </xf>
    <xf numFmtId="0" fontId="10" fillId="8" borderId="3" applyAlignment="1" pivotButton="0" quotePrefix="0" xfId="0">
      <alignment horizontal="left" vertical="center"/>
    </xf>
    <xf numFmtId="0" fontId="10" fillId="8" borderId="3" applyAlignment="1" pivotButton="0" quotePrefix="0" xfId="0">
      <alignment horizontal="right" vertical="center"/>
    </xf>
    <xf numFmtId="0" fontId="9" fillId="9" borderId="4" applyAlignment="1" pivotButton="0" quotePrefix="0" xfId="0">
      <alignment horizontal="center" vertical="center"/>
    </xf>
    <xf numFmtId="0" fontId="9" fillId="9" borderId="4" applyAlignment="1" pivotButton="0" quotePrefix="0" xfId="0">
      <alignment horizontal="left" vertical="center"/>
    </xf>
    <xf numFmtId="165" fontId="9" fillId="9" borderId="4" applyAlignment="1" pivotButton="0" quotePrefix="0" xfId="0">
      <alignment horizontal="right" vertical="center"/>
    </xf>
    <xf numFmtId="164" fontId="9" fillId="9" borderId="4" applyAlignment="1" pivotButton="0" quotePrefix="0" xfId="0">
      <alignment horizontal="right" vertical="center"/>
    </xf>
    <xf numFmtId="10" fontId="9" fillId="9" borderId="4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/>
    </xf>
    <xf numFmtId="165" fontId="11" fillId="8" borderId="3" applyAlignment="1" pivotButton="0" quotePrefix="0" xfId="0">
      <alignment horizontal="right" vertical="center"/>
    </xf>
    <xf numFmtId="164" fontId="11" fillId="8" borderId="3" applyAlignment="1" pivotButton="0" quotePrefix="0" xfId="0">
      <alignment horizontal="right" vertical="center"/>
    </xf>
    <xf numFmtId="0" fontId="9" fillId="7" borderId="4" applyAlignment="1" pivotButton="0" quotePrefix="0" xfId="0">
      <alignment horizontal="center" vertical="center"/>
    </xf>
    <xf numFmtId="0" fontId="9" fillId="7" borderId="4" applyAlignment="1" pivotButton="0" quotePrefix="0" xfId="0">
      <alignment horizontal="left" vertical="center"/>
    </xf>
    <xf numFmtId="165" fontId="9" fillId="7" borderId="4" applyAlignment="1" pivotButton="0" quotePrefix="0" xfId="0">
      <alignment horizontal="right" vertical="center"/>
    </xf>
    <xf numFmtId="164" fontId="9" fillId="7" borderId="4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3" fontId="9" fillId="9" borderId="4" applyAlignment="1" pivotButton="0" quotePrefix="0" xfId="0">
      <alignment horizontal="right" vertical="center"/>
    </xf>
    <xf numFmtId="0" fontId="9" fillId="9" borderId="4" applyAlignment="1" pivotButton="0" quotePrefix="0" xfId="0">
      <alignment horizontal="right" vertical="center"/>
    </xf>
    <xf numFmtId="0" fontId="12" fillId="8" borderId="3" applyAlignment="1" pivotButton="0" quotePrefix="0" xfId="0">
      <alignment horizontal="center" vertical="center"/>
    </xf>
    <xf numFmtId="0" fontId="12" fillId="8" borderId="3" applyAlignment="1" pivotButton="0" quotePrefix="0" xfId="0">
      <alignment horizontal="left" vertical="center"/>
    </xf>
    <xf numFmtId="3" fontId="12" fillId="8" borderId="3" applyAlignment="1" pivotButton="0" quotePrefix="0" xfId="0">
      <alignment horizontal="right" vertical="center"/>
    </xf>
    <xf numFmtId="164" fontId="12" fillId="8" borderId="3" applyAlignment="1" pivotButton="0" quotePrefix="0" xfId="0">
      <alignment horizontal="right" vertical="center"/>
    </xf>
    <xf numFmtId="0" fontId="6" fillId="10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164" fontId="9" fillId="2" borderId="4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/>
    </xf>
    <xf numFmtId="164" fontId="9" fillId="3" borderId="4" applyAlignment="1" pivotButton="0" quotePrefix="0" xfId="0">
      <alignment horizontal="right" vertical="center"/>
    </xf>
    <xf numFmtId="10" fontId="9" fillId="3" borderId="4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164" fontId="13" fillId="10" borderId="4" applyAlignment="1" pivotButton="0" quotePrefix="0" xfId="0">
      <alignment horizontal="right" vertical="center"/>
    </xf>
    <xf numFmtId="10" fontId="9" fillId="7" borderId="4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22" customWidth="1" min="4" max="4"/>
    <col width="14" customWidth="1" min="5" max="5"/>
    <col width="14" customWidth="1" min="6" max="6"/>
    <col width="19" customWidth="1" min="7" max="7"/>
    <col width="12" customWidth="1" min="8" max="8"/>
    <col width="18" customWidth="1" min="9" max="9"/>
    <col width="16" customWidth="1" min="10" max="10"/>
    <col width="16" customWidth="1" min="11" max="11"/>
    <col width="19" customWidth="1" min="12" max="12"/>
    <col width="19" customWidth="1" min="13" max="13"/>
    <col width="16" customWidth="1" min="14" max="14"/>
    <col width="18" customWidth="1" min="15" max="15"/>
    <col width="17" customWidth="1" min="16" max="16"/>
    <col width="24" customWidth="1" min="17" max="17"/>
    <col width="17" customWidth="1" min="18" max="18"/>
    <col width="13" customWidth="1" min="19" max="19"/>
    <col width="26" customWidth="1" min="20" max="20"/>
    <col width="18" customWidth="1" min="21" max="21"/>
    <col width="14" customWidth="1" min="22" max="22"/>
  </cols>
  <sheetData>
    <row r="1">
      <c r="A1" s="1" t="inlineStr">
        <is>
          <t>CÔNG TY TNHH GLOBAL SOLUTION SERVICE (G-SS CO.,LTD)</t>
        </is>
      </c>
    </row>
    <row r="2">
      <c r="A2" s="2" t="inlineStr">
        <is>
          <t>Tầng 18, Tòa nhà CEO Tower, Lô HH2-1, Khu đô thị Mễ Trì Hạ, đường Phạm Hùng, Phường Từ Liêm, Thành phố Hà Nội</t>
        </is>
      </c>
    </row>
    <row r="3">
      <c r="A3" s="2" t="inlineStr">
        <is>
          <t>MST: 0109469047 | Tài khoản MB Bank: 6868886868 (VND) &amp; 9489773866038 (USD) — CN Hà Nội</t>
        </is>
      </c>
    </row>
    <row r="5">
      <c r="A5" s="3" t="inlineStr">
        <is>
          <t>BẢNG MASTER DASHBOARD: TỔNG HỢP TOÀN BỘ ĐƠN HÀNG XUẤT KHẨU &amp; THEO DÕI DỒN TÍCH LŨY HOÀN THUẾ GTGT 0%</t>
        </is>
      </c>
    </row>
    <row r="6">
      <c r="A6" s="2" t="inlineStr">
        <is>
          <t>Hệ thống quản trị tài chính hợp nhất đa Sheet — Quản trị Doanh thu 2 đợt USD, 2 Tầng Lợi nhuận &amp; Tiến độ tích lũy hoàn thuế ≥ 300 triệu đồng</t>
        </is>
      </c>
    </row>
    <row r="8">
      <c r="A8" s="4" t="inlineStr">
        <is>
          <t>TỔNG DOANH THU THỰC TẾ (VNĐ)</t>
        </is>
      </c>
      <c r="B8" s="5" t="n"/>
      <c r="C8" s="5" t="n"/>
      <c r="D8" s="4" t="inlineStr">
        <is>
          <t>TỔNG CHI PHÍ THỰC TẾ (CHƯA VAT)</t>
        </is>
      </c>
      <c r="E8" s="5" t="n"/>
      <c r="F8" s="5" t="n"/>
      <c r="G8" s="4" t="inlineStr">
        <is>
          <t>LỢI NHUẬN TRƯỚC THUẾ (EBT)</t>
        </is>
      </c>
      <c r="H8" s="5" t="n"/>
      <c r="I8" s="5" t="n"/>
      <c r="J8" s="4" t="inlineStr">
        <is>
          <t>THUẾ TNDN 20% TẠM NỘP</t>
        </is>
      </c>
      <c r="K8" s="5" t="n"/>
      <c r="L8" s="5" t="n"/>
      <c r="M8" s="6" t="inlineStr">
        <is>
          <t>★ LÃI RÒNG TẦNG 1 (TIỀN TƯƠI)</t>
        </is>
      </c>
      <c r="N8" s="5" t="n"/>
      <c r="O8" s="5" t="n"/>
      <c r="P8" s="7" t="inlineStr">
        <is>
          <t>★★ QUỸ HOÀN THUẾ GTGT ĐÃ TÍCH LŨY</t>
        </is>
      </c>
      <c r="Q8" s="5" t="n"/>
      <c r="R8" s="5" t="n"/>
      <c r="S8" s="5" t="n"/>
    </row>
    <row r="9">
      <c r="A9" s="8">
        <f>SUM(G15:G20)</f>
        <v/>
      </c>
      <c r="B9" s="5" t="n"/>
      <c r="C9" s="5" t="n"/>
      <c r="D9" s="8">
        <f>SUM(L15:L20)</f>
        <v/>
      </c>
      <c r="E9" s="5" t="n"/>
      <c r="F9" s="5" t="n"/>
      <c r="G9" s="8">
        <f>SUM(M15:M20)</f>
        <v/>
      </c>
      <c r="H9" s="5" t="n"/>
      <c r="I9" s="5" t="n"/>
      <c r="J9" s="8">
        <f>SUM(N15:N20)</f>
        <v/>
      </c>
      <c r="K9" s="5" t="n"/>
      <c r="L9" s="5" t="n"/>
      <c r="M9" s="9">
        <f>SUM(O15:O20)</f>
        <v/>
      </c>
      <c r="N9" s="5" t="n"/>
      <c r="O9" s="5" t="n"/>
      <c r="P9" s="10">
        <f>MAX(Q15:Q20)</f>
        <v/>
      </c>
      <c r="Q9" s="5" t="n"/>
      <c r="R9" s="5" t="n"/>
      <c r="S9" s="5" t="n"/>
    </row>
    <row r="12">
      <c r="A12" s="11" t="inlineStr">
        <is>
          <t>DANH MỤC CÁC ĐƠN HÀNG XUẤT KHẨU (SỐ LIỆU THỰC TẾ &amp; CÁC DÒNG CHỜ PHÁT SINH TỰ ĐỘNG)</t>
        </is>
      </c>
    </row>
    <row r="14">
      <c r="A14" s="12" t="inlineStr">
        <is>
          <t>STT</t>
        </is>
      </c>
      <c r="B14" s="12" t="inlineStr">
        <is>
          <t>MÃ ĐƠN</t>
        </is>
      </c>
      <c r="C14" s="12" t="inlineStr">
        <is>
          <t>HỢP ĐỒNG / TỜ KHAI HQ</t>
        </is>
      </c>
      <c r="D14" s="12" t="inlineStr">
        <is>
          <t>THỊ TRƯỜNG / ĐỐI TÁC</t>
        </is>
      </c>
      <c r="E14" s="12" t="inlineStr">
        <is>
          <t>USD ĐỢT 1 (CỌC)</t>
        </is>
      </c>
      <c r="F14" s="12" t="inlineStr">
        <is>
          <t>USD ĐỢT 2 (QT)</t>
        </is>
      </c>
      <c r="G14" s="12" t="inlineStr">
        <is>
          <t>TỔNG DOANH THU (VNĐ)</t>
        </is>
      </c>
      <c r="H14" s="12" t="inlineStr">
        <is>
          <t>TỶ GIÁ BQ</t>
        </is>
      </c>
      <c r="I14" s="12" t="inlineStr">
        <is>
          <t>GIÁ VỐN (CHƯA VAT)</t>
        </is>
      </c>
      <c r="J14" s="12" t="inlineStr">
        <is>
          <t>VẬN TẢI &amp; LOG</t>
        </is>
      </c>
      <c r="K14" s="12" t="inlineStr">
        <is>
          <t>PHỤ PHÍ CỬA KHẨU</t>
        </is>
      </c>
      <c r="L14" s="12" t="inlineStr">
        <is>
          <t>TỔNG CHI PHÍ THỰC TẾ</t>
        </is>
      </c>
      <c r="M14" s="12" t="inlineStr">
        <is>
          <t>LỢI NHUẬN TRƯỚC THUẾ</t>
        </is>
      </c>
      <c r="N14" s="12" t="inlineStr">
        <is>
          <t>THUẾ TNDN 20%</t>
        </is>
      </c>
      <c r="O14" s="12" t="inlineStr">
        <is>
          <t>★ LÃI RÒNG TẦNG 1</t>
        </is>
      </c>
      <c r="P14" s="12" t="inlineStr">
        <is>
          <t>THUẾ GTGT ĐẦU VÀO</t>
        </is>
      </c>
      <c r="Q14" s="12" t="inlineStr">
        <is>
          <t>★★ LŨY KẾ HOÀN THUẾ (TK 1331)</t>
        </is>
      </c>
      <c r="R14" s="12" t="inlineStr">
        <is>
          <t>CÒN THIẾU ĐỦ 300M</t>
        </is>
      </c>
      <c r="S14" s="12" t="inlineStr">
        <is>
          <t>TIẾN ĐỘ 300M</t>
        </is>
      </c>
      <c r="T14" s="12" t="inlineStr">
        <is>
          <t>TRẠNG THÁI NỘP HỒ SƠ HOÀN THUẾ</t>
        </is>
      </c>
      <c r="U14" s="12" t="inlineStr">
        <is>
          <t>★★ LÃI RÒNG TẦNG 2</t>
        </is>
      </c>
      <c r="V14" s="12" t="inlineStr">
        <is>
          <t>SHEET CHI TIẾT</t>
        </is>
      </c>
    </row>
    <row r="15">
      <c r="A15" s="13" t="n">
        <v>1</v>
      </c>
      <c r="B15" s="14" t="inlineStr">
        <is>
          <t>269901</t>
        </is>
      </c>
      <c r="C15" s="15" t="inlineStr">
        <is>
          <t>GSSDIX_FCA_269901 / TK 107382910430</t>
        </is>
      </c>
      <c r="D15" s="15" t="inlineStr">
        <is>
          <t>Thái Lan (Duangmanee Co., Ltd)</t>
        </is>
      </c>
      <c r="E15" s="16">
        <f>'DON_269901'!E17</f>
        <v/>
      </c>
      <c r="F15" s="16">
        <f>'DON_269901'!E18</f>
        <v/>
      </c>
      <c r="G15" s="17">
        <f>'DON_269901'!G19</f>
        <v/>
      </c>
      <c r="H15" s="18">
        <f>'DON_269901'!F19</f>
        <v/>
      </c>
      <c r="I15" s="18">
        <f>'DON_269901'!G24</f>
        <v/>
      </c>
      <c r="J15" s="18">
        <f>'DON_269901'!G32</f>
        <v/>
      </c>
      <c r="K15" s="18">
        <f>'DON_269901'!G44</f>
        <v/>
      </c>
      <c r="L15" s="18">
        <f>'DON_269901'!G52</f>
        <v/>
      </c>
      <c r="M15" s="18">
        <f>'DON_269901'!G56</f>
        <v/>
      </c>
      <c r="N15" s="18">
        <f>'DON_269901'!G58</f>
        <v/>
      </c>
      <c r="O15" s="19">
        <f>'DON_269901'!G60</f>
        <v/>
      </c>
      <c r="P15" s="18">
        <f>'DON_269901'!G53</f>
        <v/>
      </c>
      <c r="Q15" s="20">
        <f>P15</f>
        <v/>
      </c>
      <c r="R15" s="18">
        <f>MAX(0, 300000000-Q15)</f>
        <v/>
      </c>
      <c r="S15" s="21">
        <f>Q15/300000000</f>
        <v/>
      </c>
      <c r="T15" s="22">
        <f>IF(Q15&gt;=300000000, "ĐỦ ĐIỀU KIỆN HOÀN THUẾ", "ĐANG TÍCH LŨY (Chưa đủ 300M)")</f>
        <v/>
      </c>
      <c r="U15" s="23">
        <f>'DON_269901'!G63</f>
        <v/>
      </c>
      <c r="V15" s="13" t="inlineStr">
        <is>
          <t>DON_269901</t>
        </is>
      </c>
    </row>
    <row r="16">
      <c r="A16" s="24" t="n">
        <v>2</v>
      </c>
      <c r="B16" s="24" t="inlineStr">
        <is>
          <t>[Chờ phát sinh]</t>
        </is>
      </c>
      <c r="C16" s="25" t="inlineStr">
        <is>
          <t>Chờ hợp đồng mới</t>
        </is>
      </c>
      <c r="D16" s="25" t="inlineStr">
        <is>
          <t>Chờ đối tác</t>
        </is>
      </c>
      <c r="E16" s="26" t="inlineStr"/>
      <c r="F16" s="26" t="inlineStr"/>
      <c r="G16" s="26" t="inlineStr"/>
      <c r="H16" s="26" t="inlineStr"/>
      <c r="I16" s="26" t="inlineStr"/>
      <c r="J16" s="26" t="inlineStr"/>
      <c r="K16" s="26" t="inlineStr"/>
      <c r="L16" s="26" t="inlineStr"/>
      <c r="M16" s="26" t="inlineStr"/>
      <c r="N16" s="26" t="inlineStr"/>
      <c r="O16" s="26" t="inlineStr"/>
      <c r="P16" s="26" t="inlineStr"/>
      <c r="Q16" s="26">
        <f>IF(P16="","",Q15+P16)</f>
        <v/>
      </c>
      <c r="R16" s="26">
        <f>IF(Q16="","",MAX(0, 300000000-Q16))</f>
        <v/>
      </c>
      <c r="S16" s="26">
        <f>IF(Q16="","",Q16/300000000)</f>
        <v/>
      </c>
      <c r="T16" s="24">
        <f>IF(Q16="","",IF(Q16&gt;=300000000, "ĐỦ ĐIỀU KIỆN HOÀN THUẾ", "ĐANG TÍCH LŨY (Chưa đủ 300M)"))</f>
        <v/>
      </c>
      <c r="U16" s="26" t="inlineStr"/>
      <c r="V16" s="24" t="inlineStr">
        <is>
          <t>DON_TEMPLATE</t>
        </is>
      </c>
    </row>
    <row r="17">
      <c r="A17" s="24" t="n">
        <v>3</v>
      </c>
      <c r="B17" s="24" t="inlineStr">
        <is>
          <t>[Chờ phát sinh]</t>
        </is>
      </c>
      <c r="C17" s="25" t="inlineStr">
        <is>
          <t>Chờ hợp đồng mới</t>
        </is>
      </c>
      <c r="D17" s="25" t="inlineStr">
        <is>
          <t>Chờ đối tác</t>
        </is>
      </c>
      <c r="E17" s="26" t="inlineStr"/>
      <c r="F17" s="26" t="inlineStr"/>
      <c r="G17" s="26" t="inlineStr"/>
      <c r="H17" s="26" t="inlineStr"/>
      <c r="I17" s="26" t="inlineStr"/>
      <c r="J17" s="26" t="inlineStr"/>
      <c r="K17" s="26" t="inlineStr"/>
      <c r="L17" s="26" t="inlineStr"/>
      <c r="M17" s="26" t="inlineStr"/>
      <c r="N17" s="26" t="inlineStr"/>
      <c r="O17" s="26" t="inlineStr"/>
      <c r="P17" s="26" t="inlineStr"/>
      <c r="Q17" s="26">
        <f>IF(P17="","",Q16+P17)</f>
        <v/>
      </c>
      <c r="R17" s="26">
        <f>IF(Q17="","",MAX(0, 300000000-Q17))</f>
        <v/>
      </c>
      <c r="S17" s="26">
        <f>IF(Q17="","",Q17/300000000)</f>
        <v/>
      </c>
      <c r="T17" s="24">
        <f>IF(Q17="","",IF(Q17&gt;=300000000, "ĐỦ ĐIỀU KIỆN HOÀN THUẾ", "ĐANG TÍCH LŨY (Chưa đủ 300M)"))</f>
        <v/>
      </c>
      <c r="U17" s="26" t="inlineStr"/>
      <c r="V17" s="24" t="inlineStr">
        <is>
          <t>DON_TEMPLATE</t>
        </is>
      </c>
    </row>
    <row r="18">
      <c r="A18" s="24" t="n">
        <v>4</v>
      </c>
      <c r="B18" s="24" t="inlineStr">
        <is>
          <t>[Chờ phát sinh]</t>
        </is>
      </c>
      <c r="C18" s="25" t="inlineStr">
        <is>
          <t>Chờ hợp đồng mới</t>
        </is>
      </c>
      <c r="D18" s="25" t="inlineStr">
        <is>
          <t>Chờ đối tác</t>
        </is>
      </c>
      <c r="E18" s="26" t="inlineStr"/>
      <c r="F18" s="26" t="inlineStr"/>
      <c r="G18" s="26" t="inlineStr"/>
      <c r="H18" s="26" t="inlineStr"/>
      <c r="I18" s="26" t="inlineStr"/>
      <c r="J18" s="26" t="inlineStr"/>
      <c r="K18" s="26" t="inlineStr"/>
      <c r="L18" s="26" t="inlineStr"/>
      <c r="M18" s="26" t="inlineStr"/>
      <c r="N18" s="26" t="inlineStr"/>
      <c r="O18" s="26" t="inlineStr"/>
      <c r="P18" s="26" t="inlineStr"/>
      <c r="Q18" s="26">
        <f>IF(P18="","",Q17+P18)</f>
        <v/>
      </c>
      <c r="R18" s="26">
        <f>IF(Q18="","",MAX(0, 300000000-Q18))</f>
        <v/>
      </c>
      <c r="S18" s="26">
        <f>IF(Q18="","",Q18/300000000)</f>
        <v/>
      </c>
      <c r="T18" s="24">
        <f>IF(Q18="","",IF(Q18&gt;=300000000, "ĐỦ ĐIỀU KIỆN HOÀN THUẾ", "ĐANG TÍCH LŨY (Chưa đủ 300M)"))</f>
        <v/>
      </c>
      <c r="U18" s="26" t="inlineStr"/>
      <c r="V18" s="24" t="inlineStr">
        <is>
          <t>DON_TEMPLATE</t>
        </is>
      </c>
    </row>
    <row r="19">
      <c r="A19" s="24" t="n">
        <v>5</v>
      </c>
      <c r="B19" s="24" t="inlineStr">
        <is>
          <t>[Chờ phát sinh]</t>
        </is>
      </c>
      <c r="C19" s="25" t="inlineStr">
        <is>
          <t>Chờ hợp đồng mới</t>
        </is>
      </c>
      <c r="D19" s="25" t="inlineStr">
        <is>
          <t>Chờ đối tác</t>
        </is>
      </c>
      <c r="E19" s="26" t="inlineStr"/>
      <c r="F19" s="26" t="inlineStr"/>
      <c r="G19" s="26" t="inlineStr"/>
      <c r="H19" s="26" t="inlineStr"/>
      <c r="I19" s="26" t="inlineStr"/>
      <c r="J19" s="26" t="inlineStr"/>
      <c r="K19" s="26" t="inlineStr"/>
      <c r="L19" s="26" t="inlineStr"/>
      <c r="M19" s="26" t="inlineStr"/>
      <c r="N19" s="26" t="inlineStr"/>
      <c r="O19" s="26" t="inlineStr"/>
      <c r="P19" s="26" t="inlineStr"/>
      <c r="Q19" s="26">
        <f>IF(P19="","",Q18+P19)</f>
        <v/>
      </c>
      <c r="R19" s="26">
        <f>IF(Q19="","",MAX(0, 300000000-Q19))</f>
        <v/>
      </c>
      <c r="S19" s="26">
        <f>IF(Q19="","",Q19/300000000)</f>
        <v/>
      </c>
      <c r="T19" s="24">
        <f>IF(Q19="","",IF(Q19&gt;=300000000, "ĐỦ ĐIỀU KIỆN HOÀN THUẾ", "ĐANG TÍCH LŨY (Chưa đủ 300M)"))</f>
        <v/>
      </c>
      <c r="U19" s="26" t="inlineStr"/>
      <c r="V19" s="24" t="inlineStr">
        <is>
          <t>DON_TEMPLATE</t>
        </is>
      </c>
    </row>
    <row r="21">
      <c r="A21" s="27" t="inlineStr">
        <is>
          <t>—</t>
        </is>
      </c>
      <c r="B21" s="27" t="inlineStr">
        <is>
          <t>TỔNG CỘNG</t>
        </is>
      </c>
      <c r="C21" s="28" t="inlineStr">
        <is>
          <t>TỔNG HỢP CÁC ĐƠN HÀNG THỰC TẾ ĐÃ PHÁT SINH</t>
        </is>
      </c>
      <c r="D21" s="28" t="inlineStr">
        <is>
          <t>G-SS CO.,LTD</t>
        </is>
      </c>
      <c r="E21" s="29">
        <f>SUM(E15:E20)</f>
        <v/>
      </c>
      <c r="F21" s="29">
        <f>SUM(F15:F20)</f>
        <v/>
      </c>
      <c r="G21" s="30">
        <f>SUM(G15:G20)</f>
        <v/>
      </c>
      <c r="H21" s="30">
        <f>IF(SUM(E21:F21)&gt;0, G21/SUM(E21:F21), 0)</f>
        <v/>
      </c>
      <c r="I21" s="30">
        <f>SUM(I15:I20)</f>
        <v/>
      </c>
      <c r="J21" s="30">
        <f>SUM(J15:J20)</f>
        <v/>
      </c>
      <c r="K21" s="30">
        <f>SUM(K15:K20)</f>
        <v/>
      </c>
      <c r="L21" s="30">
        <f>SUM(L15:L20)</f>
        <v/>
      </c>
      <c r="M21" s="30">
        <f>SUM(M15:M20)</f>
        <v/>
      </c>
      <c r="N21" s="30">
        <f>SUM(N15:N20)</f>
        <v/>
      </c>
      <c r="O21" s="30">
        <f>SUM(O15:O20)</f>
        <v/>
      </c>
      <c r="P21" s="30">
        <f>SUM(P15:P20)</f>
        <v/>
      </c>
      <c r="Q21" s="30">
        <f>MAX(Q15:Q20)</f>
        <v/>
      </c>
      <c r="R21" s="30">
        <f>MAX(0, 300000000-Q21)</f>
        <v/>
      </c>
      <c r="S21" s="31">
        <f>Q21/300000000</f>
        <v/>
      </c>
      <c r="T21" s="27">
        <f>IF(Q21&gt;=300000000, "ĐỦ ĐIỀU KIỆN HOÀN THUẾ", "ĐANG TÍCH LŨY (Chưa đủ 300M)")</f>
        <v/>
      </c>
      <c r="U21" s="30">
        <f>SUM(U15:U20)</f>
        <v/>
      </c>
      <c r="V21" s="27" t="inlineStr">
        <is>
          <t>ALL ORDERS</t>
        </is>
      </c>
    </row>
  </sheetData>
  <mergeCells count="13">
    <mergeCell ref="P9:S9"/>
    <mergeCell ref="A8:C8"/>
    <mergeCell ref="M9:O9"/>
    <mergeCell ref="A9:C9"/>
    <mergeCell ref="G8:I8"/>
    <mergeCell ref="D9:F9"/>
    <mergeCell ref="G9:I9"/>
    <mergeCell ref="J8:L8"/>
    <mergeCell ref="M8:O8"/>
    <mergeCell ref="J9:L9"/>
    <mergeCell ref="D8:F8"/>
    <mergeCell ref="A12:V12"/>
    <mergeCell ref="P8:S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6" customWidth="1" min="3" max="3"/>
    <col width="8" customWidth="1" min="4" max="4"/>
    <col width="16" customWidth="1" min="5" max="5"/>
    <col width="17" customWidth="1" min="6" max="6"/>
    <col width="21" customWidth="1" min="7" max="7"/>
    <col width="18" customWidth="1" min="8" max="8"/>
    <col width="19" customWidth="1" min="9" max="9"/>
    <col width="26" customWidth="1" min="10" max="10"/>
    <col width="14" customWidth="1" min="11" max="11"/>
    <col width="26" customWidth="1" min="12" max="12"/>
  </cols>
  <sheetData>
    <row r="1">
      <c r="A1" s="1" t="inlineStr">
        <is>
          <t>CÔNG TY TNHH GLOBAL SOLUTION SERVICE (G-SS CO.,LTD)</t>
        </is>
      </c>
    </row>
    <row r="2">
      <c r="A2" s="2" t="inlineStr">
        <is>
          <t>Tầng 18, Tòa nhà CEO Tower, Lô HH2-1, Khu đô thị Mễ Trì Hạ, đường Phạm Hùng, Phường Từ Liêm, Thành phố Hà Nội</t>
        </is>
      </c>
    </row>
    <row r="3">
      <c r="A3" s="2" t="inlineStr">
        <is>
          <t>MST: 0109469047 | Hotline: 0966688525 | Email: safetylife.1st@gmail.com</t>
        </is>
      </c>
    </row>
    <row r="5">
      <c r="A5" s="3" t="inlineStr">
        <is>
          <t>BẢNG QUYẾT TOÁN TÀI CHÍNH &amp; TỔNG CHI PHÍ ĐƠN HÀNG 269901</t>
        </is>
      </c>
    </row>
    <row r="6">
      <c r="A6" s="2" t="inlineStr">
        <is>
          <t>Đơn hàng: GSSDIX_FCA_269901 (PO260901) | Tờ khai Hải quan B11: 107382910430 (Luồng Vàng) | Khách hàng: DUANGMANEE IMPORT-EXPORT CO., LTD (Thái Lan)</t>
        </is>
      </c>
    </row>
    <row r="8">
      <c r="A8" s="4" t="inlineStr">
        <is>
          <t>DOANH THU THỰC NHẬN (FCA)</t>
        </is>
      </c>
      <c r="B8" s="5" t="n"/>
      <c r="C8" s="4" t="inlineStr">
        <is>
          <t>TỔNG CHI PHÍ THỰC TẾ</t>
        </is>
      </c>
      <c r="D8" s="5" t="n"/>
      <c r="E8" s="4" t="inlineStr">
        <is>
          <t>LỢI NHUẬN TRƯỚC THUẾ (EBT)</t>
        </is>
      </c>
      <c r="F8" s="5" t="n"/>
      <c r="G8" s="4" t="inlineStr">
        <is>
          <t>THUẾ TNDN 20% TẠM NỘP</t>
        </is>
      </c>
      <c r="H8" s="5" t="n"/>
      <c r="I8" s="6" t="inlineStr">
        <is>
          <t>★ LÃI RÒNG TRƯỚC HOÀN THUẾ (TIỀN TƯƠI)</t>
        </is>
      </c>
      <c r="J8" s="5" t="n"/>
      <c r="K8" s="7" t="inlineStr">
        <is>
          <t>★★ LÃI RÒNG SAU HOÀN THUẾ (TỔNG THỂ)</t>
        </is>
      </c>
      <c r="L8" s="5" t="n"/>
    </row>
    <row r="9">
      <c r="A9" s="8">
        <f>G19</f>
        <v/>
      </c>
      <c r="B9" s="5" t="n"/>
      <c r="C9" s="8">
        <f>G52</f>
        <v/>
      </c>
      <c r="D9" s="5" t="n"/>
      <c r="E9" s="8">
        <f>G56</f>
        <v/>
      </c>
      <c r="F9" s="5" t="n"/>
      <c r="G9" s="8">
        <f>G58</f>
        <v/>
      </c>
      <c r="H9" s="5" t="n"/>
      <c r="I9" s="9">
        <f>G60</f>
        <v/>
      </c>
      <c r="J9" s="5" t="n"/>
      <c r="K9" s="10">
        <f>G63</f>
        <v/>
      </c>
      <c r="L9" s="5" t="n"/>
    </row>
    <row r="14">
      <c r="A14" s="11" t="inlineStr">
        <is>
          <t>PHẦN I: DOANH THU XUẤT KHẨU &amp; THEO DÕI NGOẠI TỆ USD VỀ 2 ĐỢT (BÊN MUA: DUANGMANEE IMPORT-EXPORT CO., LTD (Thái Lan))</t>
        </is>
      </c>
    </row>
    <row r="15">
      <c r="A15" s="32" t="inlineStr">
        <is>
          <t>STT</t>
        </is>
      </c>
      <c r="B15" s="32" t="inlineStr">
        <is>
          <t>DANH MỤC HẠNG MỤC / KHOẢN MỤC CHI PHÍ</t>
        </is>
      </c>
      <c r="C15" s="32" t="inlineStr">
        <is>
          <t>QUY CÁCH / ĐỐI TÁC THỰC HIỆN</t>
        </is>
      </c>
      <c r="D15" s="32" t="inlineStr">
        <is>
          <t>ĐVT</t>
        </is>
      </c>
      <c r="E15" s="32" t="inlineStr">
        <is>
          <t>SỐ TIỀN USD / SỐ LƯỢNG</t>
        </is>
      </c>
      <c r="F15" s="32" t="inlineStr">
        <is>
          <t>TỶ GIÁ (VND/USD) / ĐƠN GIÁ</t>
        </is>
      </c>
      <c r="G15" s="32" t="inlineStr">
        <is>
          <t>THÀNH TIỀN QUY ĐỔI VNĐ (CHƯA VAT)</t>
        </is>
      </c>
      <c r="H15" s="32" t="inlineStr">
        <is>
          <t>THUẾ GTGT (8% / 0%)</t>
        </is>
      </c>
      <c r="I15" s="32" t="inlineStr">
        <is>
          <t>TỔNG THANH TOÁN (GỒM VAT)</t>
        </is>
      </c>
      <c r="J15" s="32" t="inlineStr">
        <is>
          <t>SỐ HÓA ĐƠN / CHỨNG TỪ ĐỐI CHIẾU</t>
        </is>
      </c>
      <c r="K15" s="32" t="inlineStr">
        <is>
          <t>HÌNH THỨC TT</t>
        </is>
      </c>
      <c r="L15" s="32" t="inlineStr">
        <is>
          <t>GHI CHÚ KIỂM TOÁN THUẾ</t>
        </is>
      </c>
    </row>
    <row r="16">
      <c r="A16" s="13" t="inlineStr">
        <is>
          <t>1.1</t>
        </is>
      </c>
      <c r="B16" s="15" t="inlineStr">
        <is>
          <t>Doanh thu theo Hợp đồng Ngoại thương (FCA)</t>
        </is>
      </c>
      <c r="C16" s="15" t="inlineStr">
        <is>
          <t>1,300 thùng Snack Quẩy Giòn Giòn</t>
        </is>
      </c>
      <c r="D16" s="13" t="inlineStr">
        <is>
          <t>USD</t>
        </is>
      </c>
      <c r="E16" s="16" t="n">
        <v>20540</v>
      </c>
      <c r="F16" s="18" t="n">
        <v>26008</v>
      </c>
      <c r="G16" s="18">
        <f>E16*F16</f>
        <v/>
      </c>
      <c r="H16" s="18" t="n">
        <v>0</v>
      </c>
      <c r="I16" s="18">
        <f>G16</f>
        <v/>
      </c>
      <c r="J16" s="15" t="inlineStr">
        <is>
          <t>HĐ GSSDIX_FCA_269901 (PO260901)</t>
        </is>
      </c>
      <c r="K16" s="13" t="inlineStr">
        <is>
          <t>MB Bank USD</t>
        </is>
      </c>
      <c r="L16" s="15" t="inlineStr">
        <is>
          <t>Thuế suất GTGT 0% (Hợp đồng gốc)</t>
        </is>
      </c>
    </row>
    <row r="17">
      <c r="A17" s="13" t="inlineStr">
        <is>
          <t>1.2</t>
        </is>
      </c>
      <c r="B17" s="15" t="inlineStr">
        <is>
          <t>Tiền về ĐỢT 1 — Tạm ứng cọc hợp đồng [Nhập liệu]</t>
        </is>
      </c>
      <c r="C17" s="15" t="inlineStr">
        <is>
          <t>Nhận vào TK MB 9489773866038</t>
        </is>
      </c>
      <c r="D17" s="13" t="inlineStr">
        <is>
          <t>USD</t>
        </is>
      </c>
      <c r="E17" s="33" t="n">
        <v>8532</v>
      </c>
      <c r="F17" s="34" t="n">
        <v>26008</v>
      </c>
      <c r="G17" s="18">
        <f>E17*F17</f>
        <v/>
      </c>
      <c r="H17" s="18" t="n">
        <v>0</v>
      </c>
      <c r="I17" s="18">
        <f>G17</f>
        <v/>
      </c>
      <c r="J17" s="15" t="inlineStr">
        <is>
          <t>Giấy báo Có MB Bank Đợt 1</t>
        </is>
      </c>
      <c r="K17" s="13" t="inlineStr">
        <is>
          <t>Chuyển khoản T/T</t>
        </is>
      </c>
      <c r="L17" s="15" t="inlineStr">
        <is>
          <t>Điện MT103 đối tác chuyển</t>
        </is>
      </c>
    </row>
    <row r="18">
      <c r="A18" s="13" t="inlineStr">
        <is>
          <t>1.3</t>
        </is>
      </c>
      <c r="B18" s="15" t="inlineStr">
        <is>
          <t>Tiền về ĐỢT 2 — Quyết toán trước giao hàng [Nhập liệu]</t>
        </is>
      </c>
      <c r="C18" s="15" t="inlineStr">
        <is>
          <t>Nhận vào TK MB 9489773866038</t>
        </is>
      </c>
      <c r="D18" s="13" t="inlineStr">
        <is>
          <t>USD</t>
        </is>
      </c>
      <c r="E18" s="33" t="n">
        <v>12008</v>
      </c>
      <c r="F18" s="34" t="n">
        <v>26008</v>
      </c>
      <c r="G18" s="18">
        <f>E18*F18</f>
        <v/>
      </c>
      <c r="H18" s="18" t="n">
        <v>0</v>
      </c>
      <c r="I18" s="18">
        <f>G18</f>
        <v/>
      </c>
      <c r="J18" s="15" t="inlineStr">
        <is>
          <t>Giấy báo Có MB Bank Đợt 2</t>
        </is>
      </c>
      <c r="K18" s="13" t="inlineStr">
        <is>
          <t>Chuyển khoản T/T</t>
        </is>
      </c>
      <c r="L18" s="15" t="inlineStr">
        <is>
          <t>Điện MT103 đối tác chuyển</t>
        </is>
      </c>
    </row>
    <row r="19">
      <c r="A19" s="35" t="inlineStr">
        <is>
          <t>—</t>
        </is>
      </c>
      <c r="B19" s="36" t="inlineStr">
        <is>
          <t>➤ TỔNG DOANH THU NGOẠI TỆ THỰC NHẬN QUY ĐỔI VNĐ</t>
        </is>
      </c>
      <c r="C19" s="36" t="inlineStr">
        <is>
          <t>Tổng hợp 2 đợt thanh toán kiều hối USD thực tế</t>
        </is>
      </c>
      <c r="D19" s="35" t="inlineStr">
        <is>
          <t>USD</t>
        </is>
      </c>
      <c r="E19" s="37">
        <f>E17+E18</f>
        <v/>
      </c>
      <c r="F19" s="38">
        <f>IF(E19&gt;0, G19/E19, 0)</f>
        <v/>
      </c>
      <c r="G19" s="38">
        <f>G17+G18</f>
        <v/>
      </c>
      <c r="H19" s="38" t="n">
        <v>0</v>
      </c>
      <c r="I19" s="38">
        <f>G19+H19</f>
        <v/>
      </c>
      <c r="J19" s="36" t="inlineStr">
        <is>
          <t>HĐ MISA 0% / 2 Báo Có</t>
        </is>
      </c>
      <c r="K19" s="35" t="inlineStr">
        <is>
          <t>MB Bank USD</t>
        </is>
      </c>
      <c r="L19" s="36" t="inlineStr">
        <is>
          <t>Chỉ tiêu [29] trên Tờ khai 01/GTGT</t>
        </is>
      </c>
    </row>
    <row r="21">
      <c r="A21" s="11" t="inlineStr">
        <is>
          <t>PHẦN II: CHI PHÍ GIÁ VỐN HÀNG BÁN (NHÀ CUNG CẤP: CÔNG TY TNHH ĐẦU TƯ TM CN THIÊN LONG)</t>
        </is>
      </c>
    </row>
    <row r="22">
      <c r="A22" s="32" t="inlineStr">
        <is>
          <t>STT</t>
        </is>
      </c>
      <c r="B22" s="32" t="inlineStr">
        <is>
          <t>DANH MỤC HẠNG MỤC / KHOẢN MỤC CHI PHÍ</t>
        </is>
      </c>
      <c r="C22" s="32" t="inlineStr">
        <is>
          <t>QUY CÁCH / ĐỐI TÁC THỰC HIỆN</t>
        </is>
      </c>
      <c r="D22" s="32" t="inlineStr">
        <is>
          <t>ĐVT</t>
        </is>
      </c>
      <c r="E22" s="32" t="inlineStr">
        <is>
          <t>SỐ TIỀN USD / SỐ LƯỢNG</t>
        </is>
      </c>
      <c r="F22" s="32" t="inlineStr">
        <is>
          <t>TỶ GIÁ (VND/USD) / ĐƠN GIÁ</t>
        </is>
      </c>
      <c r="G22" s="32" t="inlineStr">
        <is>
          <t>THÀNH TIỀN QUY ĐỔI VNĐ (CHƯA VAT)</t>
        </is>
      </c>
      <c r="H22" s="32" t="inlineStr">
        <is>
          <t>THUẾ GTGT (8% / 0%)</t>
        </is>
      </c>
      <c r="I22" s="32" t="inlineStr">
        <is>
          <t>TỔNG THANH TOÁN (GỒM VAT)</t>
        </is>
      </c>
      <c r="J22" s="32" t="inlineStr">
        <is>
          <t>SỐ HÓA ĐƠN / CHỨNG TỪ ĐỐI CHIẾU</t>
        </is>
      </c>
      <c r="K22" s="32" t="inlineStr">
        <is>
          <t>HÌNH THỨC TT</t>
        </is>
      </c>
      <c r="L22" s="32" t="inlineStr">
        <is>
          <t>GHI CHÚ KIỂM TOÁN THUẾ</t>
        </is>
      </c>
    </row>
    <row r="23">
      <c r="A23" s="13" t="inlineStr">
        <is>
          <t>2.1</t>
        </is>
      </c>
      <c r="B23" s="15" t="inlineStr">
        <is>
          <t>Mua Snack Quẩy Giòn Giòn thành phẩm</t>
        </is>
      </c>
      <c r="C23" s="15" t="inlineStr">
        <is>
          <t>Quy cách: 22g/cốc, 300 cốc/thùng 5 lớp</t>
        </is>
      </c>
      <c r="D23" s="13" t="inlineStr">
        <is>
          <t>Thùng</t>
        </is>
      </c>
      <c r="E23" s="39" t="n">
        <v>1300</v>
      </c>
      <c r="F23" s="18" t="n">
        <v>337000</v>
      </c>
      <c r="G23" s="18">
        <f>E23*F23</f>
        <v/>
      </c>
      <c r="H23" s="18">
        <f>G23*0.08</f>
        <v/>
      </c>
      <c r="I23" s="18">
        <f>G23+H23</f>
        <v/>
      </c>
      <c r="J23" s="15" t="inlineStr">
        <is>
          <t>HĐNT 269901 &amp; PL01</t>
        </is>
      </c>
      <c r="K23" s="13" t="inlineStr">
        <is>
          <t>MB Bank UNC</t>
        </is>
      </c>
      <c r="L23" s="15" t="inlineStr">
        <is>
          <t>Hóa đơn VAT 8% (Được khấu trừ/hoàn)</t>
        </is>
      </c>
    </row>
    <row r="24">
      <c r="A24" s="27" t="inlineStr">
        <is>
          <t>—</t>
        </is>
      </c>
      <c r="B24" s="28" t="inlineStr">
        <is>
          <t>CỘNG GIÁ VỐN MUA HÀNG THIÊN LONG</t>
        </is>
      </c>
      <c r="C24" s="28" t="inlineStr">
        <is>
          <t>Giao tại cửa kho nhà máy Phú Thọ</t>
        </is>
      </c>
      <c r="D24" s="27" t="inlineStr">
        <is>
          <t>Thùng</t>
        </is>
      </c>
      <c r="E24" s="40" t="n">
        <v>1300</v>
      </c>
      <c r="F24" s="41" t="inlineStr"/>
      <c r="G24" s="30">
        <f>SUM(G23:G23)</f>
        <v/>
      </c>
      <c r="H24" s="30">
        <f>SUM(H23:H23)</f>
        <v/>
      </c>
      <c r="I24" s="30">
        <f>SUM(I23:I23)</f>
        <v/>
      </c>
      <c r="J24" s="28" t="inlineStr">
        <is>
          <t>HĐ GTGT Thiên Long</t>
        </is>
      </c>
      <c r="K24" s="27" t="inlineStr">
        <is>
          <t>MB Bank UNC</t>
        </is>
      </c>
      <c r="L24" s="28" t="inlineStr">
        <is>
          <t>Kê khai Chỉ tiêu [23], [24], [25]</t>
        </is>
      </c>
    </row>
    <row r="26">
      <c r="A26" s="11" t="inlineStr">
        <is>
          <t>PHẦN III: CHI PHÍ VẬN TẢI NỘI ĐỊA &amp; ĐẠI LÝ HẢI QUAN CHÍNH TUYẾN</t>
        </is>
      </c>
    </row>
    <row r="27">
      <c r="A27" s="32" t="inlineStr">
        <is>
          <t>STT</t>
        </is>
      </c>
      <c r="B27" s="32" t="inlineStr">
        <is>
          <t>DANH MỤC HẠNG MỤC / KHOẢN MỤC CHI PHÍ</t>
        </is>
      </c>
      <c r="C27" s="32" t="inlineStr">
        <is>
          <t>QUY CÁCH / ĐỐI TÁC THỰC HIỆN</t>
        </is>
      </c>
      <c r="D27" s="32" t="inlineStr">
        <is>
          <t>ĐVT</t>
        </is>
      </c>
      <c r="E27" s="32" t="inlineStr">
        <is>
          <t>SỐ TIỀN USD / SỐ LƯỢNG</t>
        </is>
      </c>
      <c r="F27" s="32" t="inlineStr">
        <is>
          <t>TỶ GIÁ (VND/USD) / ĐƠN GIÁ</t>
        </is>
      </c>
      <c r="G27" s="32" t="inlineStr">
        <is>
          <t>THÀNH TIỀN QUY ĐỔI VNĐ (CHƯA VAT)</t>
        </is>
      </c>
      <c r="H27" s="32" t="inlineStr">
        <is>
          <t>THUẾ GTGT (8% / 0%)</t>
        </is>
      </c>
      <c r="I27" s="32" t="inlineStr">
        <is>
          <t>TỔNG THANH TOÁN (GỒM VAT)</t>
        </is>
      </c>
      <c r="J27" s="32" t="inlineStr">
        <is>
          <t>SỐ HÓA ĐƠN / CHỨNG TỪ ĐỐI CHIẾU</t>
        </is>
      </c>
      <c r="K27" s="32" t="inlineStr">
        <is>
          <t>HÌNH THỨC TT</t>
        </is>
      </c>
      <c r="L27" s="32" t="inlineStr">
        <is>
          <t>GHI CHÚ KIỂM TOÁN THUẾ</t>
        </is>
      </c>
    </row>
    <row r="28">
      <c r="A28" s="13" t="inlineStr">
        <is>
          <t>3.1</t>
        </is>
      </c>
      <c r="B28" s="15" t="inlineStr">
        <is>
          <t>Cước vận chuyển container HOWO 15.6m</t>
        </is>
      </c>
      <c r="C28" s="15" t="inlineStr">
        <is>
          <t>Tuyến: Kho Phú Thọ ➔ Cửa khẩu Lao Bảo</t>
        </is>
      </c>
      <c r="D28" s="13" t="inlineStr">
        <is>
          <t>Chuyến</t>
        </is>
      </c>
      <c r="E28" s="39" t="n">
        <v>1</v>
      </c>
      <c r="F28" s="18" t="n">
        <v>22000000</v>
      </c>
      <c r="G28" s="18">
        <f>E28*F28</f>
        <v/>
      </c>
      <c r="H28" s="18">
        <f>G28*0.08</f>
        <v/>
      </c>
      <c r="I28" s="18">
        <f>G28+H28</f>
        <v/>
      </c>
      <c r="J28" s="15" t="inlineStr">
        <is>
          <t>HĐ 00000217 (Vĩnh Thành)</t>
        </is>
      </c>
      <c r="K28" s="13" t="inlineStr">
        <is>
          <t>MB Bank UNC</t>
        </is>
      </c>
      <c r="L28" s="15" t="inlineStr">
        <is>
          <t>Hóa đơn VAT 8% (Hợp đồng VC)</t>
        </is>
      </c>
    </row>
    <row r="29">
      <c r="A29" s="13" t="inlineStr">
        <is>
          <t>3.2</t>
        </is>
      </c>
      <c r="B29" s="15" t="inlineStr">
        <is>
          <t>Phí lưu xe HOWO 15.6m tại bãi Lao Bảo</t>
        </is>
      </c>
      <c r="C29" s="15" t="inlineStr">
        <is>
          <t>Lưu xe 2 ngày chờ đối tác</t>
        </is>
      </c>
      <c r="D29" s="13" t="inlineStr">
        <is>
          <t>Ngày</t>
        </is>
      </c>
      <c r="E29" s="39" t="n">
        <v>2</v>
      </c>
      <c r="F29" s="18" t="n">
        <v>2314815</v>
      </c>
      <c r="G29" s="18">
        <f>E29*F29</f>
        <v/>
      </c>
      <c r="H29" s="18">
        <f>G29*0.08</f>
        <v/>
      </c>
      <c r="I29" s="18">
        <f>G29+H29</f>
        <v/>
      </c>
      <c r="J29" s="15" t="inlineStr">
        <is>
          <t>HĐ 00000217 (Vĩnh Thành)</t>
        </is>
      </c>
      <c r="K29" s="13" t="inlineStr">
        <is>
          <t>MB Bank UNC</t>
        </is>
      </c>
      <c r="L29" s="15" t="inlineStr">
        <is>
          <t>Hóa đơn VAT 8% (Phụ lục điều xe)</t>
        </is>
      </c>
    </row>
    <row r="30">
      <c r="A30" s="13" t="inlineStr">
        <is>
          <t>3.3</t>
        </is>
      </c>
      <c r="B30" s="15" t="inlineStr">
        <is>
          <t>Phí dịch vụ Đại lý Hải quan &amp; C/O Bình An</t>
        </is>
      </c>
      <c r="C30" s="15" t="inlineStr">
        <is>
          <t>Khai B11, C/O Form D eCoSys, Biên phòng</t>
        </is>
      </c>
      <c r="D30" s="13" t="inlineStr">
        <is>
          <t>Lô</t>
        </is>
      </c>
      <c r="E30" s="39" t="n">
        <v>1</v>
      </c>
      <c r="F30" s="18" t="n">
        <v>8200000</v>
      </c>
      <c r="G30" s="18" t="n">
        <v>8200000</v>
      </c>
      <c r="H30" s="18" t="n">
        <v>0</v>
      </c>
      <c r="I30" s="18">
        <f>G30+H30</f>
        <v/>
      </c>
      <c r="J30" s="15" t="inlineStr">
        <is>
          <t>Phiếu thu / HĐ Bình An</t>
        </is>
      </c>
      <c r="K30" s="13" t="inlineStr">
        <is>
          <t>Chuyển khoản</t>
        </is>
      </c>
      <c r="L30" s="15" t="inlineStr">
        <is>
          <t>Dịch vụ thông quan trọn gói cửa khẩu</t>
        </is>
      </c>
    </row>
    <row r="31">
      <c r="A31" s="13" t="inlineStr">
        <is>
          <t>3.4</t>
        </is>
      </c>
      <c r="B31" s="15" t="inlineStr">
        <is>
          <t>Lệ phí Hải quan B11 &amp; Hạ tầng bãi Lao Bảo</t>
        </is>
      </c>
      <c r="C31" s="15" t="inlineStr">
        <is>
          <t>Phí khai hải quan 20k + Phí bến bãi 250k</t>
        </is>
      </c>
      <c r="D31" s="13" t="inlineStr">
        <is>
          <t>Lô</t>
        </is>
      </c>
      <c r="E31" s="39" t="n">
        <v>1</v>
      </c>
      <c r="F31" s="18" t="n">
        <v>270000</v>
      </c>
      <c r="G31" s="18" t="n">
        <v>270000</v>
      </c>
      <c r="H31" s="18" t="n">
        <v>0</v>
      </c>
      <c r="I31" s="18">
        <f>G31+H31</f>
        <v/>
      </c>
      <c r="J31" s="15" t="inlineStr">
        <is>
          <t>Biên lai thu phí Nhà nước</t>
        </is>
      </c>
      <c r="K31" s="13" t="inlineStr">
        <is>
          <t>Tiền mặt</t>
        </is>
      </c>
      <c r="L31" s="15" t="inlineStr">
        <is>
          <t>Lệ phí NSNN không chịu VAT</t>
        </is>
      </c>
    </row>
    <row r="32">
      <c r="A32" s="27" t="inlineStr">
        <is>
          <t>—</t>
        </is>
      </c>
      <c r="B32" s="28" t="inlineStr">
        <is>
          <t>CỘNG CHI PHÍ VẬN TẢI &amp; LOGISTICS CHÍNH</t>
        </is>
      </c>
      <c r="C32" s="28" t="inlineStr">
        <is>
          <t>Tổng chi phí vận hành logistics cố định</t>
        </is>
      </c>
      <c r="D32" s="27" t="inlineStr">
        <is>
          <t>Gói</t>
        </is>
      </c>
      <c r="E32" s="40" t="n">
        <v>1</v>
      </c>
      <c r="F32" s="41" t="inlineStr"/>
      <c r="G32" s="30">
        <f>SUM(G28:G31)</f>
        <v/>
      </c>
      <c r="H32" s="30">
        <f>SUM(H28:H31)</f>
        <v/>
      </c>
      <c r="I32" s="30">
        <f>SUM(I28:I31)</f>
        <v/>
      </c>
      <c r="J32" s="28" t="inlineStr">
        <is>
          <t>HĐ Vĩnh Thành + Biên lai</t>
        </is>
      </c>
      <c r="K32" s="27" t="inlineStr">
        <is>
          <t>UNC / TM</t>
        </is>
      </c>
      <c r="L32" s="28" t="inlineStr">
        <is>
          <t>Kê khai vào chi phí hợp lý được trừ</t>
        </is>
      </c>
    </row>
    <row r="34">
      <c r="A34" s="11" t="inlineStr">
        <is>
          <t>PHẦN IV: PHỤ PHÍ PHÁT SINH NGOÀI THỰC TẾ CỬA KHẨU &amp; HIỆN TRƯỜNG (KHU VỰC NHẬP THÊM CHI PHÍ LINH HOẠT)</t>
        </is>
      </c>
    </row>
    <row r="35">
      <c r="A35" s="32" t="inlineStr">
        <is>
          <t>STT</t>
        </is>
      </c>
      <c r="B35" s="32" t="inlineStr">
        <is>
          <t>DANH MỤC HẠNG MỤC / KHOẢN MỤC CHI PHÍ</t>
        </is>
      </c>
      <c r="C35" s="32" t="inlineStr">
        <is>
          <t>QUY CÁCH / ĐỐI TÁC THỰC HIỆN</t>
        </is>
      </c>
      <c r="D35" s="32" t="inlineStr">
        <is>
          <t>ĐVT</t>
        </is>
      </c>
      <c r="E35" s="32" t="inlineStr">
        <is>
          <t>SỐ TIỀN USD / SỐ LƯỢNG</t>
        </is>
      </c>
      <c r="F35" s="32" t="inlineStr">
        <is>
          <t>TỶ GIÁ (VND/USD) / ĐƠN GIÁ</t>
        </is>
      </c>
      <c r="G35" s="32" t="inlineStr">
        <is>
          <t>THÀNH TIỀN QUY ĐỔI VNĐ (CHƯA VAT)</t>
        </is>
      </c>
      <c r="H35" s="32" t="inlineStr">
        <is>
          <t>THUẾ GTGT (8% / 0%)</t>
        </is>
      </c>
      <c r="I35" s="32" t="inlineStr">
        <is>
          <t>TỔNG THANH TOÁN (GỒM VAT)</t>
        </is>
      </c>
      <c r="J35" s="32" t="inlineStr">
        <is>
          <t>SỐ HÓA ĐƠN / CHỨNG TỪ ĐỐI CHIẾU</t>
        </is>
      </c>
      <c r="K35" s="32" t="inlineStr">
        <is>
          <t>HÌNH THỨC TT</t>
        </is>
      </c>
      <c r="L35" s="32" t="inlineStr">
        <is>
          <t>GHI CHÚ KIỂM TOÁN THUẾ</t>
        </is>
      </c>
    </row>
    <row r="36">
      <c r="A36" s="13" t="inlineStr">
        <is>
          <t>4.1</t>
        </is>
      </c>
      <c r="B36" s="15" t="inlineStr">
        <is>
          <t>Công bốc xếp chuyển tải 'thùng đấu thùng'</t>
        </is>
      </c>
      <c r="C36" s="15" t="inlineStr">
        <is>
          <t>Cross-docking 1,300 thùng xe sang xe nhận</t>
        </is>
      </c>
      <c r="D36" s="13" t="inlineStr">
        <is>
          <t>Thùng</t>
        </is>
      </c>
      <c r="E36" s="39" t="n">
        <v>1300</v>
      </c>
      <c r="F36" s="18">
        <f>G36/E36</f>
        <v/>
      </c>
      <c r="G36" s="18" t="n">
        <v>2500000</v>
      </c>
      <c r="H36" s="18" t="n">
        <v>0</v>
      </c>
      <c r="I36" s="18">
        <f>G36+H36</f>
        <v/>
      </c>
      <c r="J36" s="15" t="inlineStr">
        <is>
          <t>Bảng kê 01/TNDN &amp; Mẫu 08</t>
        </is>
      </c>
      <c r="K36" s="13" t="inlineStr">
        <is>
          <t>Tiền mặt</t>
        </is>
      </c>
      <c r="L36" s="15" t="inlineStr">
        <is>
          <t>Có CCCD Tổ trưởng (Chi phí hợp lý TT96)</t>
        </is>
      </c>
    </row>
    <row r="37">
      <c r="A37" s="13" t="inlineStr">
        <is>
          <t>4.2</t>
        </is>
      </c>
      <c r="B37" s="15" t="inlineStr">
        <is>
          <t>Phí xử lý hồ sơ thay đổi phương án giao hàng</t>
        </is>
      </c>
      <c r="C37" s="15" t="inlineStr">
        <is>
          <t>Công văn 15/CV-GSS hủy xuất cảnh xe sang hàng</t>
        </is>
      </c>
      <c r="D37" s="13" t="inlineStr">
        <is>
          <t>Vụ</t>
        </is>
      </c>
      <c r="E37" s="39" t="n">
        <v>1</v>
      </c>
      <c r="F37" s="18" t="n">
        <v>2000000</v>
      </c>
      <c r="G37" s="18" t="n">
        <v>2000000</v>
      </c>
      <c r="H37" s="18" t="n">
        <v>0</v>
      </c>
      <c r="I37" s="18">
        <f>G37+H37</f>
        <v/>
      </c>
      <c r="J37" s="15" t="inlineStr">
        <is>
          <t>Công văn 15 có mộc Hải quan</t>
        </is>
      </c>
      <c r="K37" s="13" t="inlineStr">
        <is>
          <t>Chuyển khoản</t>
        </is>
      </c>
      <c r="L37" s="15" t="inlineStr">
        <is>
          <t>Phát sinh đột xuất tại hiện trường Lao Bảo</t>
        </is>
      </c>
    </row>
    <row r="38">
      <c r="A38" s="13" t="inlineStr">
        <is>
          <t>4.3</t>
        </is>
      </c>
      <c r="B38" s="15" t="inlineStr">
        <is>
          <t>Tiền phòng khách sạn nhân viên hiện trường</t>
        </is>
      </c>
      <c r="C38" s="15" t="inlineStr">
        <is>
          <t>Đồng Thanh Tùng lưu trú 2 đêm Lao Bảo</t>
        </is>
      </c>
      <c r="D38" s="13" t="inlineStr">
        <is>
          <t>Đêm</t>
        </is>
      </c>
      <c r="E38" s="39" t="n">
        <v>2</v>
      </c>
      <c r="F38" s="18" t="n">
        <v>370370</v>
      </c>
      <c r="G38" s="18">
        <f>E38*F38</f>
        <v/>
      </c>
      <c r="H38" s="18">
        <f>G38*0.08</f>
        <v/>
      </c>
      <c r="I38" s="18">
        <f>G38+H38</f>
        <v/>
      </c>
      <c r="J38" s="15" t="inlineStr">
        <is>
          <t>HĐ 00001188 (Dư Hùng Phát)</t>
        </is>
      </c>
      <c r="K38" s="13" t="inlineStr">
        <is>
          <t>Hoàn ứng</t>
        </is>
      </c>
      <c r="L38" s="15" t="inlineStr">
        <is>
          <t>Hóa đơn VAT 8% (Giấy thanh toán KT-LOG-07)</t>
        </is>
      </c>
    </row>
    <row r="39">
      <c r="A39" s="42" t="inlineStr">
        <is>
          <t>4.4</t>
        </is>
      </c>
      <c r="B39" s="43" t="inlineStr">
        <is>
          <t>[Người dùng nhập thêm khoản phát sinh 01]</t>
        </is>
      </c>
      <c r="C39" s="43" t="inlineStr">
        <is>
          <t>Mô tả khoản chi phí phát sinh thực tế...</t>
        </is>
      </c>
      <c r="D39" s="42" t="inlineStr">
        <is>
          <t>Gói</t>
        </is>
      </c>
      <c r="E39" s="44" t="n">
        <v>0</v>
      </c>
      <c r="F39" s="45" t="n">
        <v>0</v>
      </c>
      <c r="G39" s="45" t="n">
        <v>0</v>
      </c>
      <c r="H39" s="45">
        <f>G39*0.08</f>
        <v/>
      </c>
      <c r="I39" s="45">
        <f>G39+H39</f>
        <v/>
      </c>
      <c r="J39" s="43" t="inlineStr">
        <is>
          <t>Chứng từ kèm theo...</t>
        </is>
      </c>
      <c r="K39" s="42" t="inlineStr">
        <is>
          <t>[Hình thức]</t>
        </is>
      </c>
      <c r="L39" s="43" t="inlineStr">
        <is>
          <t>Ghi chú thuế...</t>
        </is>
      </c>
    </row>
    <row r="40">
      <c r="A40" s="42" t="inlineStr">
        <is>
          <t>4.5</t>
        </is>
      </c>
      <c r="B40" s="43" t="inlineStr">
        <is>
          <t>[Người dùng nhập thêm khoản phát sinh 02]</t>
        </is>
      </c>
      <c r="C40" s="43" t="inlineStr">
        <is>
          <t>Mô tả khoản chi phí phát sinh thực tế...</t>
        </is>
      </c>
      <c r="D40" s="42" t="inlineStr">
        <is>
          <t>Gói</t>
        </is>
      </c>
      <c r="E40" s="44" t="n">
        <v>0</v>
      </c>
      <c r="F40" s="45" t="n">
        <v>0</v>
      </c>
      <c r="G40" s="45" t="n">
        <v>0</v>
      </c>
      <c r="H40" s="45">
        <f>G40*0.08</f>
        <v/>
      </c>
      <c r="I40" s="45">
        <f>G40+H40</f>
        <v/>
      </c>
      <c r="J40" s="43" t="inlineStr">
        <is>
          <t>Chứng từ kèm theo...</t>
        </is>
      </c>
      <c r="K40" s="42" t="inlineStr">
        <is>
          <t>[Hình thức]</t>
        </is>
      </c>
      <c r="L40" s="43" t="inlineStr">
        <is>
          <t>Ghi chú thuế...</t>
        </is>
      </c>
    </row>
    <row r="41">
      <c r="A41" s="42" t="inlineStr">
        <is>
          <t>4.6</t>
        </is>
      </c>
      <c r="B41" s="43" t="inlineStr">
        <is>
          <t>[Người dùng nhập thêm khoản phát sinh 03]</t>
        </is>
      </c>
      <c r="C41" s="43" t="inlineStr">
        <is>
          <t>Mô tả khoản chi phí phát sinh thực tế...</t>
        </is>
      </c>
      <c r="D41" s="42" t="inlineStr">
        <is>
          <t>Gói</t>
        </is>
      </c>
      <c r="E41" s="44" t="n">
        <v>0</v>
      </c>
      <c r="F41" s="45" t="n">
        <v>0</v>
      </c>
      <c r="G41" s="45" t="n">
        <v>0</v>
      </c>
      <c r="H41" s="45">
        <f>G41*0.08</f>
        <v/>
      </c>
      <c r="I41" s="45">
        <f>G41+H41</f>
        <v/>
      </c>
      <c r="J41" s="43" t="inlineStr">
        <is>
          <t>Chứng từ kèm theo...</t>
        </is>
      </c>
      <c r="K41" s="42" t="inlineStr">
        <is>
          <t>[Hình thức]</t>
        </is>
      </c>
      <c r="L41" s="43" t="inlineStr">
        <is>
          <t>Ghi chú thuế...</t>
        </is>
      </c>
    </row>
    <row r="42">
      <c r="A42" s="42" t="inlineStr">
        <is>
          <t>4.7</t>
        </is>
      </c>
      <c r="B42" s="43" t="inlineStr">
        <is>
          <t>[Người dùng nhập thêm khoản phát sinh 04]</t>
        </is>
      </c>
      <c r="C42" s="43" t="inlineStr">
        <is>
          <t>Mô tả khoản chi phí phát sinh thực tế...</t>
        </is>
      </c>
      <c r="D42" s="42" t="inlineStr">
        <is>
          <t>Gói</t>
        </is>
      </c>
      <c r="E42" s="44" t="n">
        <v>0</v>
      </c>
      <c r="F42" s="45" t="n">
        <v>0</v>
      </c>
      <c r="G42" s="45" t="n">
        <v>0</v>
      </c>
      <c r="H42" s="45">
        <f>G42*0.08</f>
        <v/>
      </c>
      <c r="I42" s="45">
        <f>G42+H42</f>
        <v/>
      </c>
      <c r="J42" s="43" t="inlineStr">
        <is>
          <t>Chứng từ kèm theo...</t>
        </is>
      </c>
      <c r="K42" s="42" t="inlineStr">
        <is>
          <t>[Hình thức]</t>
        </is>
      </c>
      <c r="L42" s="43" t="inlineStr">
        <is>
          <t>Ghi chú thuế...</t>
        </is>
      </c>
    </row>
    <row r="43">
      <c r="A43" s="42" t="inlineStr">
        <is>
          <t>4.8</t>
        </is>
      </c>
      <c r="B43" s="43" t="inlineStr">
        <is>
          <t>[Người dùng nhập thêm khoản phát sinh 05]</t>
        </is>
      </c>
      <c r="C43" s="43" t="inlineStr">
        <is>
          <t>Mô tả khoản chi phí phát sinh thực tế...</t>
        </is>
      </c>
      <c r="D43" s="42" t="inlineStr">
        <is>
          <t>Gói</t>
        </is>
      </c>
      <c r="E43" s="44" t="n">
        <v>0</v>
      </c>
      <c r="F43" s="45" t="n">
        <v>0</v>
      </c>
      <c r="G43" s="45" t="n">
        <v>0</v>
      </c>
      <c r="H43" s="45">
        <f>G43*0.08</f>
        <v/>
      </c>
      <c r="I43" s="45">
        <f>G43+H43</f>
        <v/>
      </c>
      <c r="J43" s="43" t="inlineStr">
        <is>
          <t>Chứng từ kèm theo...</t>
        </is>
      </c>
      <c r="K43" s="42" t="inlineStr">
        <is>
          <t>[Hình thức]</t>
        </is>
      </c>
      <c r="L43" s="43" t="inlineStr">
        <is>
          <t>Ghi chú thuế...</t>
        </is>
      </c>
    </row>
    <row r="44">
      <c r="A44" s="27" t="inlineStr">
        <is>
          <t>—</t>
        </is>
      </c>
      <c r="B44" s="28" t="inlineStr">
        <is>
          <t>CỘNG TOÀN BỘ PHỤ PHÍ PHÁT SINH NGOÀI</t>
        </is>
      </c>
      <c r="C44" s="28" t="inlineStr">
        <is>
          <t>Tự động cộng dồn các khoản chi thực tế và nhập thêm</t>
        </is>
      </c>
      <c r="D44" s="27" t="inlineStr">
        <is>
          <t>Mục</t>
        </is>
      </c>
      <c r="E44" s="40">
        <f>COUNTIF(G36:G43,"&gt;0")</f>
        <v/>
      </c>
      <c r="F44" s="41" t="inlineStr"/>
      <c r="G44" s="30">
        <f>SUM(G36:G43)</f>
        <v/>
      </c>
      <c r="H44" s="30">
        <f>SUM(H36:H43)</f>
        <v/>
      </c>
      <c r="I44" s="30">
        <f>SUM(I36:I43)</f>
        <v/>
      </c>
      <c r="J44" s="28" t="inlineStr">
        <is>
          <t>Bảng kê + Hóa đơn lẻ</t>
        </is>
      </c>
      <c r="K44" s="27" t="inlineStr">
        <is>
          <t>Đa dạng</t>
        </is>
      </c>
      <c r="L44" s="28" t="inlineStr">
        <is>
          <t>Tự động tính thuế và phân bổ vào P&amp;L</t>
        </is>
      </c>
    </row>
    <row r="46">
      <c r="A46" s="46" t="inlineStr">
        <is>
          <t>PHẦN V: BẢNG TỔNG HỢP P&amp;L — PHÂN ĐỊNH 2 TẦNG LỢI NHUẬN (TRƯỚC KHI HOÀN THUẾ &amp; SAU KHI HOÀN THUẾ)</t>
        </is>
      </c>
    </row>
    <row r="48">
      <c r="A48" s="14" t="inlineStr">
        <is>
          <t>A</t>
        </is>
      </c>
      <c r="B48" s="47" t="inlineStr">
        <is>
          <t>TỔNG DOANH THU THỰC NHẬN TỪ 2 ĐỢT NGOẠI TỆ (FCA)</t>
        </is>
      </c>
      <c r="C48" s="47" t="n"/>
      <c r="D48" s="47" t="n"/>
      <c r="E48" s="47" t="n"/>
      <c r="F48" s="47" t="n"/>
      <c r="G48" s="38">
        <f>G19</f>
        <v/>
      </c>
      <c r="H48" s="38" t="n"/>
      <c r="I48" s="38" t="n"/>
      <c r="J48" s="48" t="inlineStr">
        <is>
          <t>Công thức Excel tự động</t>
        </is>
      </c>
      <c r="K48" s="48" t="n"/>
      <c r="L48" s="48" t="n"/>
    </row>
    <row r="49">
      <c r="A49" s="13" t="inlineStr">
        <is>
          <t>B</t>
        </is>
      </c>
      <c r="B49" s="15" t="inlineStr">
        <is>
          <t>1. Chi phí Giá vốn mua hàng Thiên Long (Phần II)</t>
        </is>
      </c>
      <c r="C49" s="15" t="n"/>
      <c r="D49" s="15" t="n"/>
      <c r="E49" s="15" t="n"/>
      <c r="F49" s="15" t="n"/>
      <c r="G49" s="18">
        <f>G24</f>
        <v/>
      </c>
      <c r="H49" s="18" t="n"/>
      <c r="I49" s="18" t="n"/>
      <c r="J49" s="48" t="inlineStr">
        <is>
          <t>Công thức Excel tự động</t>
        </is>
      </c>
      <c r="K49" s="48" t="n"/>
      <c r="L49" s="48" t="n"/>
    </row>
    <row r="50">
      <c r="A50" s="13" t="inlineStr">
        <is>
          <t>C</t>
        </is>
      </c>
      <c r="B50" s="15" t="inlineStr">
        <is>
          <t>2. Chi phí Vận tải &amp; Logistics chính tuyến (Phần III)</t>
        </is>
      </c>
      <c r="C50" s="15" t="n"/>
      <c r="D50" s="15" t="n"/>
      <c r="E50" s="15" t="n"/>
      <c r="F50" s="15" t="n"/>
      <c r="G50" s="18">
        <f>G32</f>
        <v/>
      </c>
      <c r="H50" s="18" t="n"/>
      <c r="I50" s="18" t="n"/>
      <c r="J50" s="48" t="inlineStr">
        <is>
          <t>Công thức Excel tự động</t>
        </is>
      </c>
      <c r="K50" s="48" t="n"/>
      <c r="L50" s="48" t="n"/>
    </row>
    <row r="51">
      <c r="A51" s="13" t="inlineStr">
        <is>
          <t>D</t>
        </is>
      </c>
      <c r="B51" s="15" t="inlineStr">
        <is>
          <t>3. Phụ phí phát sinh ngoài thực tế cửa khẩu &amp; hiện trường (Phần IV)</t>
        </is>
      </c>
      <c r="C51" s="15" t="n"/>
      <c r="D51" s="15" t="n"/>
      <c r="E51" s="15" t="n"/>
      <c r="F51" s="15" t="n"/>
      <c r="G51" s="18">
        <f>G44</f>
        <v/>
      </c>
      <c r="H51" s="18" t="n"/>
      <c r="I51" s="18" t="n"/>
      <c r="J51" s="48" t="inlineStr">
        <is>
          <t>Công thức Excel tự động</t>
        </is>
      </c>
      <c r="K51" s="48" t="n"/>
      <c r="L51" s="48" t="n"/>
    </row>
    <row r="52">
      <c r="A52" s="14" t="inlineStr">
        <is>
          <t>—</t>
        </is>
      </c>
      <c r="B52" s="49" t="inlineStr">
        <is>
          <t>➤ TỔNG CHI PHÍ THỰC TẾ CỦA ĐƠN HÀNG (CHƯA VAT)</t>
        </is>
      </c>
      <c r="C52" s="49" t="n"/>
      <c r="D52" s="49" t="n"/>
      <c r="E52" s="49" t="n"/>
      <c r="F52" s="49" t="n"/>
      <c r="G52" s="30">
        <f>SUM(G49:G51)</f>
        <v/>
      </c>
      <c r="H52" s="30" t="n"/>
      <c r="I52" s="30" t="n"/>
      <c r="J52" s="48" t="inlineStr">
        <is>
          <t>Công thức Excel tự động</t>
        </is>
      </c>
      <c r="K52" s="48" t="n"/>
      <c r="L52" s="48" t="n"/>
    </row>
    <row r="53">
      <c r="A53" s="14" t="inlineStr">
        <is>
          <t>—</t>
        </is>
      </c>
      <c r="B53" s="50" t="inlineStr">
        <is>
          <t>➤ TỔNG THUẾ GTGT ĐẦU VÀO ĐƯỢC KHẤU TRỪ / CHỜ HOÀN (8%)</t>
        </is>
      </c>
      <c r="C53" s="50" t="n"/>
      <c r="D53" s="50" t="n"/>
      <c r="E53" s="50" t="n"/>
      <c r="F53" s="50" t="n"/>
      <c r="G53" s="51">
        <f>H24+H32+H44</f>
        <v/>
      </c>
      <c r="H53" s="51" t="n"/>
      <c r="I53" s="51" t="n"/>
      <c r="J53" s="48" t="inlineStr">
        <is>
          <t>Công thức Excel tự động</t>
        </is>
      </c>
      <c r="K53" s="48" t="n"/>
      <c r="L53" s="48" t="n"/>
    </row>
    <row r="54">
      <c r="A54" s="14" t="inlineStr">
        <is>
          <t>—</t>
        </is>
      </c>
      <c r="B54" s="49" t="inlineStr">
        <is>
          <t>➤ TỔNG DÒNG TIỀN CHI TRẢ THỰC TẾ (BAO GỒM CẢ VAT)</t>
        </is>
      </c>
      <c r="C54" s="49" t="n"/>
      <c r="D54" s="49" t="n"/>
      <c r="E54" s="49" t="n"/>
      <c r="F54" s="49" t="n"/>
      <c r="G54" s="30">
        <f>I24+I32+I44</f>
        <v/>
      </c>
      <c r="H54" s="30" t="n"/>
      <c r="I54" s="30" t="n"/>
      <c r="J54" s="48" t="inlineStr">
        <is>
          <t>Công thức Excel tự động</t>
        </is>
      </c>
      <c r="K54" s="48" t="n"/>
      <c r="L54" s="48" t="n"/>
    </row>
    <row r="56">
      <c r="A56" s="14" t="inlineStr">
        <is>
          <t>E</t>
        </is>
      </c>
      <c r="B56" s="47" t="inlineStr">
        <is>
          <t>LỢI NHUẬN KẾ TOÁN TRƯỚC THUẾ (EBT = DOANH THU - TỔNG CHI PHÍ)</t>
        </is>
      </c>
      <c r="C56" s="47" t="n"/>
      <c r="D56" s="47" t="n"/>
      <c r="E56" s="47" t="n"/>
      <c r="F56" s="47" t="n"/>
      <c r="G56" s="38">
        <f>G48-G52</f>
        <v/>
      </c>
      <c r="H56" s="38" t="n"/>
      <c r="I56" s="38" t="n"/>
      <c r="J56" s="48" t="inlineStr">
        <is>
          <t>Công thức Excel tự động</t>
        </is>
      </c>
      <c r="K56" s="48" t="n"/>
      <c r="L56" s="48" t="n"/>
    </row>
    <row r="57">
      <c r="A57" s="13" t="inlineStr">
        <is>
          <t>F</t>
        </is>
      </c>
      <c r="B57" s="15" t="inlineStr">
        <is>
          <t>Tỷ suất Lợi nhuận Gộp trước thuế / Doanh thu (Gross Margin)</t>
        </is>
      </c>
      <c r="C57" s="15" t="n"/>
      <c r="D57" s="15" t="n"/>
      <c r="E57" s="15" t="n"/>
      <c r="F57" s="15" t="n"/>
      <c r="G57" s="21">
        <f>IF(G48&gt;0, G56/G48, 0)</f>
        <v/>
      </c>
      <c r="H57" s="21" t="n"/>
      <c r="I57" s="21" t="n"/>
      <c r="J57" s="48" t="inlineStr">
        <is>
          <t>Công thức Excel tự động</t>
        </is>
      </c>
      <c r="K57" s="48" t="n"/>
      <c r="L57" s="48" t="n"/>
    </row>
    <row r="58">
      <c r="A58" s="13" t="inlineStr">
        <is>
          <t>G</t>
        </is>
      </c>
      <c r="B58" s="15" t="inlineStr">
        <is>
          <t>Thuế TNDN 20% tạm tính phải nộp (Đủ Bảng kê 01/TNDN bốc xếp)</t>
        </is>
      </c>
      <c r="C58" s="15" t="n"/>
      <c r="D58" s="15" t="n"/>
      <c r="E58" s="15" t="n"/>
      <c r="F58" s="15" t="n"/>
      <c r="G58" s="18">
        <f>ROUND(G56*0.2, 0)</f>
        <v/>
      </c>
      <c r="H58" s="18" t="n"/>
      <c r="I58" s="18" t="n"/>
      <c r="J58" s="48" t="inlineStr">
        <is>
          <t>Công thức Excel tự động</t>
        </is>
      </c>
      <c r="K58" s="48" t="n"/>
      <c r="L58" s="48" t="n"/>
    </row>
    <row r="59">
      <c r="A59" s="13" t="inlineStr">
        <is>
          <t>H</t>
        </is>
      </c>
      <c r="B59" s="15" t="inlineStr">
        <is>
          <t>Thuế TNDN 20% trường hợp loại trừ 2,5M chi phí bốc xếp (B4)</t>
        </is>
      </c>
      <c r="C59" s="15" t="n"/>
      <c r="D59" s="15" t="n"/>
      <c r="E59" s="15" t="n"/>
      <c r="F59" s="15" t="n"/>
      <c r="G59" s="18">
        <f>ROUND((G56+2500000)*0.2, 0)</f>
        <v/>
      </c>
      <c r="H59" s="18" t="n"/>
      <c r="I59" s="18" t="n"/>
      <c r="J59" s="48" t="inlineStr">
        <is>
          <t>Công thức Excel tự động</t>
        </is>
      </c>
      <c r="K59" s="48" t="n"/>
      <c r="L59" s="48" t="n"/>
    </row>
    <row r="60">
      <c r="A60" s="14" t="inlineStr">
        <is>
          <t>I</t>
        </is>
      </c>
      <c r="B60" s="52" t="inlineStr">
        <is>
          <t>★ TẦNG 1: LỢI NHUẬN RÒNG TRƯỚC KHI HOÀN THUẾ (TIỀN TƯƠI NỘI BỘ)</t>
        </is>
      </c>
      <c r="C60" s="52" t="n"/>
      <c r="D60" s="52" t="n"/>
      <c r="E60" s="52" t="n"/>
      <c r="F60" s="52" t="n"/>
      <c r="G60" s="53">
        <f>G56-G58</f>
        <v/>
      </c>
      <c r="H60" s="53" t="n"/>
      <c r="I60" s="53" t="n"/>
      <c r="J60" s="48" t="inlineStr">
        <is>
          <t>Công thức Excel tự động</t>
        </is>
      </c>
      <c r="K60" s="48" t="n"/>
      <c r="L60" s="48" t="n"/>
    </row>
    <row r="61">
      <c r="A61" s="14" t="inlineStr">
        <is>
          <t>J</t>
        </is>
      </c>
      <c r="B61" s="52" t="inlineStr">
        <is>
          <t>★ TỶ SUẤT LỢI NHUẬN RÒNG TRƯỚC HOÀN THUẾ (ROS 1 THỰC NHẬN)</t>
        </is>
      </c>
      <c r="C61" s="52" t="n"/>
      <c r="D61" s="52" t="n"/>
      <c r="E61" s="52" t="n"/>
      <c r="F61" s="52" t="n"/>
      <c r="G61" s="54">
        <f>IF(G48&gt;0, G60/G48, 0)</f>
        <v/>
      </c>
      <c r="H61" s="54" t="n"/>
      <c r="I61" s="54" t="n"/>
      <c r="J61" s="48" t="inlineStr">
        <is>
          <t>Công thức Excel tự động</t>
        </is>
      </c>
      <c r="K61" s="48" t="n"/>
      <c r="L61" s="48" t="n"/>
    </row>
    <row r="62">
      <c r="A62" s="14" t="inlineStr">
        <is>
          <t>K</t>
        </is>
      </c>
      <c r="B62" s="50" t="inlineStr">
        <is>
          <t>Dòng tiền Hoàn thuế GTGT 0% đầu vào thu về (Khi tích lũy đủ ≥ 300M)</t>
        </is>
      </c>
      <c r="C62" s="50" t="n"/>
      <c r="D62" s="50" t="n"/>
      <c r="E62" s="50" t="n"/>
      <c r="F62" s="50" t="n"/>
      <c r="G62" s="51">
        <f>G53</f>
        <v/>
      </c>
      <c r="H62" s="51" t="n"/>
      <c r="I62" s="51" t="n"/>
      <c r="J62" s="48" t="inlineStr">
        <is>
          <t>Công thức Excel tự động</t>
        </is>
      </c>
      <c r="K62" s="48" t="n"/>
      <c r="L62" s="48" t="n"/>
    </row>
    <row r="63">
      <c r="A63" s="14" t="inlineStr">
        <is>
          <t>L</t>
        </is>
      </c>
      <c r="B63" s="55" t="inlineStr">
        <is>
          <t>★★ TẦNG 2: LỢI NHUẬN RÒNG TỔNG THỂ DÀI HẠN (SAU KHI HOÀN THUẾ)</t>
        </is>
      </c>
      <c r="C63" s="55" t="n"/>
      <c r="D63" s="55" t="n"/>
      <c r="E63" s="55" t="n"/>
      <c r="F63" s="55" t="n"/>
      <c r="G63" s="56">
        <f>G60+G62</f>
        <v/>
      </c>
      <c r="H63" s="56" t="n"/>
      <c r="I63" s="56" t="n"/>
      <c r="J63" s="48" t="inlineStr">
        <is>
          <t>Công thức Excel tự động</t>
        </is>
      </c>
      <c r="K63" s="48" t="n"/>
      <c r="L63" s="48" t="n"/>
    </row>
    <row r="64">
      <c r="A64" s="14" t="inlineStr">
        <is>
          <t>M</t>
        </is>
      </c>
      <c r="B64" s="47" t="inlineStr">
        <is>
          <t>★★ TỶ SUẤT LỢI NHUẬN RÒNG DÀI HẠN (ROS 2 SAU HOÀN THUẾ)</t>
        </is>
      </c>
      <c r="C64" s="47" t="n"/>
      <c r="D64" s="47" t="n"/>
      <c r="E64" s="47" t="n"/>
      <c r="F64" s="47" t="n"/>
      <c r="G64" s="57">
        <f>IF(G48&gt;0, G63/G48, 0)</f>
        <v/>
      </c>
      <c r="H64" s="57" t="n"/>
      <c r="I64" s="57" t="n"/>
      <c r="J64" s="48" t="inlineStr">
        <is>
          <t>Công thức Excel tự động</t>
        </is>
      </c>
      <c r="K64" s="48" t="n"/>
      <c r="L64" s="48" t="n"/>
    </row>
    <row r="65">
      <c r="A65" s="13" t="inlineStr">
        <is>
          <t>N</t>
        </is>
      </c>
      <c r="B65" s="15" t="inlineStr">
        <is>
          <t>Tỷ lệ Chi phí trên Doanh thu (Cost to Revenue Ratio)</t>
        </is>
      </c>
      <c r="C65" s="15" t="n"/>
      <c r="D65" s="15" t="n"/>
      <c r="E65" s="15" t="n"/>
      <c r="F65" s="15" t="n"/>
      <c r="G65" s="21">
        <f>IF(G48&gt;0, G52/G48, 0)</f>
        <v/>
      </c>
      <c r="H65" s="21" t="n"/>
      <c r="I65" s="21" t="n"/>
      <c r="J65" s="48" t="inlineStr">
        <is>
          <t>Công thức Excel tự động</t>
        </is>
      </c>
      <c r="K65" s="48" t="n"/>
      <c r="L65" s="48" t="n"/>
    </row>
    <row r="67">
      <c r="A67" s="58" t="inlineStr">
        <is>
          <t>NGƯỜI LẬP BIỂU</t>
        </is>
      </c>
      <c r="D67" s="58" t="inlineStr">
        <is>
          <t>NHÂN VIÊN HIỆN TRƯỜNG</t>
        </is>
      </c>
      <c r="G67" s="58" t="inlineStr">
        <is>
          <t>KẾ TOÁN TRƯỞNG</t>
        </is>
      </c>
      <c r="J67" s="58" t="inlineStr">
        <is>
          <t>GIÁM ĐỐC ĐẠI DIỆN PHÁP LUẬT</t>
        </is>
      </c>
    </row>
    <row r="68">
      <c r="A68" s="59" t="inlineStr">
        <is>
          <t>(Ký, ghi rõ họ tên)</t>
        </is>
      </c>
      <c r="D68" s="59" t="inlineStr">
        <is>
          <t>(Ký, xác nhận phụ phí)</t>
        </is>
      </c>
      <c r="G68" s="59" t="inlineStr">
        <is>
          <t>(Ký, kiểm soát hóa đơn)</t>
        </is>
      </c>
      <c r="J68" s="59" t="inlineStr">
        <is>
          <t>(Ký, đóng dấu duyệt chi)</t>
        </is>
      </c>
    </row>
    <row r="72">
      <c r="A72" s="58" t="inlineStr">
        <is>
          <t>Bộ phận Kế toán GSS</t>
        </is>
      </c>
      <c r="D72" s="58" t="inlineStr">
        <is>
          <t>Đồng Thanh Tùng</t>
        </is>
      </c>
      <c r="G72" s="58" t="inlineStr">
        <is>
          <t>Phụ trách Tài chính Kế toán</t>
        </is>
      </c>
      <c r="J72" s="58" t="inlineStr">
        <is>
          <t>NGUYỄN VĂN TRUNG</t>
        </is>
      </c>
    </row>
  </sheetData>
  <mergeCells count="80">
    <mergeCell ref="A46:L46"/>
    <mergeCell ref="G62:I62"/>
    <mergeCell ref="A21:L21"/>
    <mergeCell ref="E8:F8"/>
    <mergeCell ref="B58:F58"/>
    <mergeCell ref="B52:F52"/>
    <mergeCell ref="A26:L26"/>
    <mergeCell ref="G65:I65"/>
    <mergeCell ref="B60:F60"/>
    <mergeCell ref="J50:L50"/>
    <mergeCell ref="G63:I63"/>
    <mergeCell ref="B53:F53"/>
    <mergeCell ref="G50:I50"/>
    <mergeCell ref="J52:L52"/>
    <mergeCell ref="J61:L61"/>
    <mergeCell ref="J48:L48"/>
    <mergeCell ref="G52:I52"/>
    <mergeCell ref="A34:L34"/>
    <mergeCell ref="J72:L72"/>
    <mergeCell ref="A9:B9"/>
    <mergeCell ref="B54:F54"/>
    <mergeCell ref="J65:L65"/>
    <mergeCell ref="B56:F56"/>
    <mergeCell ref="J63:L63"/>
    <mergeCell ref="A14:L14"/>
    <mergeCell ref="G64:I64"/>
    <mergeCell ref="D68:F68"/>
    <mergeCell ref="G51:I51"/>
    <mergeCell ref="B57:F57"/>
    <mergeCell ref="G54:I54"/>
    <mergeCell ref="D67:F67"/>
    <mergeCell ref="A67:C67"/>
    <mergeCell ref="G56:I56"/>
    <mergeCell ref="I8:J8"/>
    <mergeCell ref="A8:B8"/>
    <mergeCell ref="C8:D8"/>
    <mergeCell ref="J67:L67"/>
    <mergeCell ref="J60:L60"/>
    <mergeCell ref="G9:H9"/>
    <mergeCell ref="I9:J9"/>
    <mergeCell ref="J53:L53"/>
    <mergeCell ref="B62:F62"/>
    <mergeCell ref="G53:I53"/>
    <mergeCell ref="B59:F59"/>
    <mergeCell ref="K9:L9"/>
    <mergeCell ref="G68:I68"/>
    <mergeCell ref="G58:I58"/>
    <mergeCell ref="J54:L54"/>
    <mergeCell ref="B48:F48"/>
    <mergeCell ref="J56:L56"/>
    <mergeCell ref="A72:C72"/>
    <mergeCell ref="K8:L8"/>
    <mergeCell ref="J58:L58"/>
    <mergeCell ref="G72:I72"/>
    <mergeCell ref="B65:F65"/>
    <mergeCell ref="J57:L57"/>
    <mergeCell ref="J59:L59"/>
    <mergeCell ref="B63:F63"/>
    <mergeCell ref="B50:F50"/>
    <mergeCell ref="J68:L68"/>
    <mergeCell ref="J49:L49"/>
    <mergeCell ref="G57:I57"/>
    <mergeCell ref="G49:I49"/>
    <mergeCell ref="G8:H8"/>
    <mergeCell ref="D72:F72"/>
    <mergeCell ref="B61:F61"/>
    <mergeCell ref="C9:D9"/>
    <mergeCell ref="E9:F9"/>
    <mergeCell ref="J51:L51"/>
    <mergeCell ref="A68:C68"/>
    <mergeCell ref="J62:L62"/>
    <mergeCell ref="G60:I60"/>
    <mergeCell ref="G59:I59"/>
    <mergeCell ref="J64:L64"/>
    <mergeCell ref="B49:F49"/>
    <mergeCell ref="B64:F64"/>
    <mergeCell ref="G67:I67"/>
    <mergeCell ref="G61:I61"/>
    <mergeCell ref="B51:F51"/>
    <mergeCell ref="G48:I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6" customWidth="1" min="3" max="3"/>
    <col width="8" customWidth="1" min="4" max="4"/>
    <col width="16" customWidth="1" min="5" max="5"/>
    <col width="17" customWidth="1" min="6" max="6"/>
    <col width="21" customWidth="1" min="7" max="7"/>
    <col width="18" customWidth="1" min="8" max="8"/>
    <col width="19" customWidth="1" min="9" max="9"/>
    <col width="26" customWidth="1" min="10" max="10"/>
    <col width="14" customWidth="1" min="11" max="11"/>
    <col width="26" customWidth="1" min="12" max="12"/>
  </cols>
  <sheetData>
    <row r="1">
      <c r="A1" s="1" t="inlineStr">
        <is>
          <t>CÔNG TY TNHH GLOBAL SOLUTION SERVICE (G-SS CO.,LTD)</t>
        </is>
      </c>
    </row>
    <row r="2">
      <c r="A2" s="2" t="inlineStr">
        <is>
          <t>Tầng 18, Tòa nhà CEO Tower, Lô HH2-1, Khu đô thị Mễ Trì Hạ, đường Phạm Hùng, Phường Từ Liêm, Thành phố Hà Nội</t>
        </is>
      </c>
    </row>
    <row r="3">
      <c r="A3" s="2" t="inlineStr">
        <is>
          <t>MST: 0109469047 | Hotline: 0966688525 | Email: safetylife.1st@gmail.com</t>
        </is>
      </c>
    </row>
    <row r="5">
      <c r="A5" s="3" t="inlineStr">
        <is>
          <t>BẢNG QUYẾT TOÁN TÀI CHÍNH &amp; TỔNG CHI PHÍ ĐƠN HÀNG [YYMMDDNN]</t>
        </is>
      </c>
    </row>
    <row r="6">
      <c r="A6" s="2" t="inlineStr">
        <is>
          <t>Đơn hàng: GSSDIX_FCA_[YYMMDDNN] | Tờ khai Hải quan B11: [Số Tờ khai B11 Thông quan] | Khách hàng: DUANGMANEE IMPORT-EXPORT CO., LTD</t>
        </is>
      </c>
    </row>
    <row r="8">
      <c r="A8" s="4" t="inlineStr">
        <is>
          <t>DOANH THU THỰC NHẬN (FCA)</t>
        </is>
      </c>
      <c r="B8" s="5" t="n"/>
      <c r="C8" s="4" t="inlineStr">
        <is>
          <t>TỔNG CHI PHÍ THỰC TẾ</t>
        </is>
      </c>
      <c r="D8" s="5" t="n"/>
      <c r="E8" s="4" t="inlineStr">
        <is>
          <t>LỢI NHUẬN TRƯỚC THUẾ (EBT)</t>
        </is>
      </c>
      <c r="F8" s="5" t="n"/>
      <c r="G8" s="4" t="inlineStr">
        <is>
          <t>THUẾ TNDN 20% TẠM NỘP</t>
        </is>
      </c>
      <c r="H8" s="5" t="n"/>
      <c r="I8" s="6" t="inlineStr">
        <is>
          <t>★ LÃI RÒNG TRƯỚC HOÀN THUẾ (TIỀN TƯƠI)</t>
        </is>
      </c>
      <c r="J8" s="5" t="n"/>
      <c r="K8" s="7" t="inlineStr">
        <is>
          <t>★★ LÃI RÒNG SAU HOÀN THUẾ (TỔNG THỂ)</t>
        </is>
      </c>
      <c r="L8" s="5" t="n"/>
    </row>
    <row r="9">
      <c r="A9" s="8">
        <f>G19</f>
        <v/>
      </c>
      <c r="B9" s="5" t="n"/>
      <c r="C9" s="8">
        <f>G52</f>
        <v/>
      </c>
      <c r="D9" s="5" t="n"/>
      <c r="E9" s="8">
        <f>G56</f>
        <v/>
      </c>
      <c r="F9" s="5" t="n"/>
      <c r="G9" s="8">
        <f>G58</f>
        <v/>
      </c>
      <c r="H9" s="5" t="n"/>
      <c r="I9" s="9">
        <f>G60</f>
        <v/>
      </c>
      <c r="J9" s="5" t="n"/>
      <c r="K9" s="10">
        <f>G63</f>
        <v/>
      </c>
      <c r="L9" s="5" t="n"/>
    </row>
    <row r="14">
      <c r="A14" s="11" t="inlineStr">
        <is>
          <t>PHẦN I: DOANH THU XUẤT KHẨU &amp; THEO DÕI NGOẠI TỆ USD VỀ 2 ĐỢT (BÊN MUA: DUANGMANEE IMPORT-EXPORT CO., LTD)</t>
        </is>
      </c>
    </row>
    <row r="15">
      <c r="A15" s="32" t="inlineStr">
        <is>
          <t>STT</t>
        </is>
      </c>
      <c r="B15" s="32" t="inlineStr">
        <is>
          <t>DANH MỤC HẠNG MỤC / KHOẢN MỤC CHI PHÍ</t>
        </is>
      </c>
      <c r="C15" s="32" t="inlineStr">
        <is>
          <t>QUY CÁCH / ĐỐI TÁC THỰC HIỆN</t>
        </is>
      </c>
      <c r="D15" s="32" t="inlineStr">
        <is>
          <t>ĐVT</t>
        </is>
      </c>
      <c r="E15" s="32" t="inlineStr">
        <is>
          <t>SỐ TIỀN USD / SỐ LƯỢNG</t>
        </is>
      </c>
      <c r="F15" s="32" t="inlineStr">
        <is>
          <t>TỶ GIÁ (VND/USD) / ĐƠN GIÁ</t>
        </is>
      </c>
      <c r="G15" s="32" t="inlineStr">
        <is>
          <t>THÀNH TIỀN QUY ĐỔI VNĐ (CHƯA VAT)</t>
        </is>
      </c>
      <c r="H15" s="32" t="inlineStr">
        <is>
          <t>THUẾ GTGT (8% / 0%)</t>
        </is>
      </c>
      <c r="I15" s="32" t="inlineStr">
        <is>
          <t>TỔNG THANH TOÁN (GỒM VAT)</t>
        </is>
      </c>
      <c r="J15" s="32" t="inlineStr">
        <is>
          <t>SỐ HÓA ĐƠN / CHỨNG TỪ ĐỐI CHIẾU</t>
        </is>
      </c>
      <c r="K15" s="32" t="inlineStr">
        <is>
          <t>HÌNH THỨC TT</t>
        </is>
      </c>
      <c r="L15" s="32" t="inlineStr">
        <is>
          <t>GHI CHÚ KIỂM TOÁN THUẾ</t>
        </is>
      </c>
    </row>
    <row r="16">
      <c r="A16" s="13" t="inlineStr">
        <is>
          <t>1.1</t>
        </is>
      </c>
      <c r="B16" s="15" t="inlineStr">
        <is>
          <t>Doanh thu theo Hợp đồng Ngoại thương (FCA)</t>
        </is>
      </c>
      <c r="C16" s="15" t="inlineStr">
        <is>
          <t>[Số lượng thùng]</t>
        </is>
      </c>
      <c r="D16" s="13" t="inlineStr">
        <is>
          <t>USD</t>
        </is>
      </c>
      <c r="E16" s="16" t="n">
        <v>0</v>
      </c>
      <c r="F16" s="18" t="n">
        <v>0</v>
      </c>
      <c r="G16" s="18">
        <f>E16*F16</f>
        <v/>
      </c>
      <c r="H16" s="18" t="n">
        <v>0</v>
      </c>
      <c r="I16" s="18">
        <f>G16</f>
        <v/>
      </c>
      <c r="J16" s="15" t="inlineStr">
        <is>
          <t>HĐ GSSDIX_FCA_[YYMMDDNN]</t>
        </is>
      </c>
      <c r="K16" s="13" t="inlineStr">
        <is>
          <t>MB Bank USD</t>
        </is>
      </c>
      <c r="L16" s="15" t="inlineStr">
        <is>
          <t>Thuế suất GTGT 0% (Hợp đồng gốc)</t>
        </is>
      </c>
    </row>
    <row r="17">
      <c r="A17" s="13" t="inlineStr">
        <is>
          <t>1.2</t>
        </is>
      </c>
      <c r="B17" s="15" t="inlineStr">
        <is>
          <t>Tiền về ĐỢT 1 — Tạm ứng cọc hợp đồng [Nhập liệu]</t>
        </is>
      </c>
      <c r="C17" s="15" t="inlineStr">
        <is>
          <t>Nhận vào TK MB 9489773866038</t>
        </is>
      </c>
      <c r="D17" s="13" t="inlineStr">
        <is>
          <t>USD</t>
        </is>
      </c>
      <c r="E17" s="33" t="n">
        <v>0</v>
      </c>
      <c r="F17" s="34" t="n">
        <v>26000</v>
      </c>
      <c r="G17" s="18">
        <f>E17*F17</f>
        <v/>
      </c>
      <c r="H17" s="18" t="n">
        <v>0</v>
      </c>
      <c r="I17" s="18">
        <f>G17</f>
        <v/>
      </c>
      <c r="J17" s="15" t="inlineStr">
        <is>
          <t>Giấy báo Có MB Bank Đợt 1</t>
        </is>
      </c>
      <c r="K17" s="13" t="inlineStr">
        <is>
          <t>Chuyển khoản T/T</t>
        </is>
      </c>
      <c r="L17" s="15" t="inlineStr">
        <is>
          <t>Điện MT103 đối tác chuyển</t>
        </is>
      </c>
    </row>
    <row r="18">
      <c r="A18" s="13" t="inlineStr">
        <is>
          <t>1.3</t>
        </is>
      </c>
      <c r="B18" s="15" t="inlineStr">
        <is>
          <t>Tiền về ĐỢT 2 — Quyết toán trước giao hàng [Nhập liệu]</t>
        </is>
      </c>
      <c r="C18" s="15" t="inlineStr">
        <is>
          <t>Nhận vào TK MB 9489773866038</t>
        </is>
      </c>
      <c r="D18" s="13" t="inlineStr">
        <is>
          <t>USD</t>
        </is>
      </c>
      <c r="E18" s="33" t="n">
        <v>0</v>
      </c>
      <c r="F18" s="34" t="n">
        <v>26000</v>
      </c>
      <c r="G18" s="18">
        <f>E18*F18</f>
        <v/>
      </c>
      <c r="H18" s="18" t="n">
        <v>0</v>
      </c>
      <c r="I18" s="18">
        <f>G18</f>
        <v/>
      </c>
      <c r="J18" s="15" t="inlineStr">
        <is>
          <t>Giấy báo Có MB Bank Đợt 2</t>
        </is>
      </c>
      <c r="K18" s="13" t="inlineStr">
        <is>
          <t>Chuyển khoản T/T</t>
        </is>
      </c>
      <c r="L18" s="15" t="inlineStr">
        <is>
          <t>Điện MT103 đối tác chuyển</t>
        </is>
      </c>
    </row>
    <row r="19">
      <c r="A19" s="35" t="inlineStr">
        <is>
          <t>—</t>
        </is>
      </c>
      <c r="B19" s="36" t="inlineStr">
        <is>
          <t>➤ TỔNG DOANH THU NGOẠI TỆ THỰC NHẬN QUY ĐỔI VNĐ</t>
        </is>
      </c>
      <c r="C19" s="36" t="inlineStr">
        <is>
          <t>Tổng hợp 2 đợt thanh toán kiều hối USD thực tế</t>
        </is>
      </c>
      <c r="D19" s="35" t="inlineStr">
        <is>
          <t>USD</t>
        </is>
      </c>
      <c r="E19" s="37">
        <f>E17+E18</f>
        <v/>
      </c>
      <c r="F19" s="38">
        <f>IF(E19&gt;0, G19/E19, 0)</f>
        <v/>
      </c>
      <c r="G19" s="38">
        <f>G17+G18</f>
        <v/>
      </c>
      <c r="H19" s="38" t="n">
        <v>0</v>
      </c>
      <c r="I19" s="38">
        <f>G19+H19</f>
        <v/>
      </c>
      <c r="J19" s="36" t="inlineStr">
        <is>
          <t>HĐ MISA 0% / 2 Báo Có</t>
        </is>
      </c>
      <c r="K19" s="35" t="inlineStr">
        <is>
          <t>MB Bank USD</t>
        </is>
      </c>
      <c r="L19" s="36" t="inlineStr">
        <is>
          <t>Chỉ tiêu [29] trên Tờ khai 01/GTGT</t>
        </is>
      </c>
    </row>
    <row r="21">
      <c r="A21" s="11" t="inlineStr">
        <is>
          <t>PHẦN II: CHI PHÍ GIÁ VỐN HÀNG BÁN (NHÀ CUNG CẤP: CÔNG TY TNHH ĐẦU TƯ TM CN THIÊN LONG)</t>
        </is>
      </c>
    </row>
    <row r="22">
      <c r="A22" s="32" t="inlineStr">
        <is>
          <t>STT</t>
        </is>
      </c>
      <c r="B22" s="32" t="inlineStr">
        <is>
          <t>DANH MỤC HẠNG MỤC / KHOẢN MỤC CHI PHÍ</t>
        </is>
      </c>
      <c r="C22" s="32" t="inlineStr">
        <is>
          <t>QUY CÁCH / ĐỐI TÁC THỰC HIỆN</t>
        </is>
      </c>
      <c r="D22" s="32" t="inlineStr">
        <is>
          <t>ĐVT</t>
        </is>
      </c>
      <c r="E22" s="32" t="inlineStr">
        <is>
          <t>SỐ TIỀN USD / SỐ LƯỢNG</t>
        </is>
      </c>
      <c r="F22" s="32" t="inlineStr">
        <is>
          <t>TỶ GIÁ (VND/USD) / ĐƠN GIÁ</t>
        </is>
      </c>
      <c r="G22" s="32" t="inlineStr">
        <is>
          <t>THÀNH TIỀN QUY ĐỔI VNĐ (CHƯA VAT)</t>
        </is>
      </c>
      <c r="H22" s="32" t="inlineStr">
        <is>
          <t>THUẾ GTGT (8% / 0%)</t>
        </is>
      </c>
      <c r="I22" s="32" t="inlineStr">
        <is>
          <t>TỔNG THANH TOÁN (GỒM VAT)</t>
        </is>
      </c>
      <c r="J22" s="32" t="inlineStr">
        <is>
          <t>SỐ HÓA ĐƠN / CHỨNG TỪ ĐỐI CHIẾU</t>
        </is>
      </c>
      <c r="K22" s="32" t="inlineStr">
        <is>
          <t>HÌNH THỨC TT</t>
        </is>
      </c>
      <c r="L22" s="32" t="inlineStr">
        <is>
          <t>GHI CHÚ KIỂM TOÁN THUẾ</t>
        </is>
      </c>
    </row>
    <row r="23">
      <c r="A23" s="13" t="inlineStr">
        <is>
          <t>2.1</t>
        </is>
      </c>
      <c r="B23" s="15" t="inlineStr">
        <is>
          <t>Mua Snack Quẩy Giòn Giòn thành phẩm</t>
        </is>
      </c>
      <c r="C23" s="15" t="inlineStr">
        <is>
          <t>Quy cách: 22g/cốc, 300 cốc/thùng 5 lớp</t>
        </is>
      </c>
      <c r="D23" s="13" t="inlineStr">
        <is>
          <t>Thùng</t>
        </is>
      </c>
      <c r="E23" s="39" t="n">
        <v>0</v>
      </c>
      <c r="F23" s="18" t="n">
        <v>337000</v>
      </c>
      <c r="G23" s="18">
        <f>E23*F23</f>
        <v/>
      </c>
      <c r="H23" s="18">
        <f>G23*0.08</f>
        <v/>
      </c>
      <c r="I23" s="18">
        <f>G23+H23</f>
        <v/>
      </c>
      <c r="J23" s="15" t="inlineStr">
        <is>
          <t>HĐNT [YYMMDDNN] &amp; PL01</t>
        </is>
      </c>
      <c r="K23" s="13" t="inlineStr">
        <is>
          <t>MB Bank UNC</t>
        </is>
      </c>
      <c r="L23" s="15" t="inlineStr">
        <is>
          <t>Hóa đơn VAT 8% (Được khấu trừ/hoàn)</t>
        </is>
      </c>
    </row>
    <row r="24">
      <c r="A24" s="27" t="inlineStr">
        <is>
          <t>—</t>
        </is>
      </c>
      <c r="B24" s="28" t="inlineStr">
        <is>
          <t>CỘNG GIÁ VỐN MUA HÀNG THIÊN LONG</t>
        </is>
      </c>
      <c r="C24" s="28" t="inlineStr">
        <is>
          <t>Giao tại cửa kho nhà máy Phú Thọ</t>
        </is>
      </c>
      <c r="D24" s="27" t="inlineStr">
        <is>
          <t>Thùng</t>
        </is>
      </c>
      <c r="E24" s="40" t="n">
        <v>0</v>
      </c>
      <c r="F24" s="41" t="inlineStr"/>
      <c r="G24" s="30">
        <f>SUM(G23:G23)</f>
        <v/>
      </c>
      <c r="H24" s="30">
        <f>SUM(H23:H23)</f>
        <v/>
      </c>
      <c r="I24" s="30">
        <f>SUM(I23:I23)</f>
        <v/>
      </c>
      <c r="J24" s="28" t="inlineStr">
        <is>
          <t>HĐ GTGT Thiên Long</t>
        </is>
      </c>
      <c r="K24" s="27" t="inlineStr">
        <is>
          <t>MB Bank UNC</t>
        </is>
      </c>
      <c r="L24" s="28" t="inlineStr">
        <is>
          <t>Kê khai Chỉ tiêu [23], [24], [25]</t>
        </is>
      </c>
    </row>
    <row r="26">
      <c r="A26" s="11" t="inlineStr">
        <is>
          <t>PHẦN III: CHI PHÍ VẬN TẢI NỘI ĐỊA &amp; ĐẠI LÝ HẢI QUAN CHÍNH TUYẾN</t>
        </is>
      </c>
    </row>
    <row r="27">
      <c r="A27" s="32" t="inlineStr">
        <is>
          <t>STT</t>
        </is>
      </c>
      <c r="B27" s="32" t="inlineStr">
        <is>
          <t>DANH MỤC HẠNG MỤC / KHOẢN MỤC CHI PHÍ</t>
        </is>
      </c>
      <c r="C27" s="32" t="inlineStr">
        <is>
          <t>QUY CÁCH / ĐỐI TÁC THỰC HIỆN</t>
        </is>
      </c>
      <c r="D27" s="32" t="inlineStr">
        <is>
          <t>ĐVT</t>
        </is>
      </c>
      <c r="E27" s="32" t="inlineStr">
        <is>
          <t>SỐ TIỀN USD / SỐ LƯỢNG</t>
        </is>
      </c>
      <c r="F27" s="32" t="inlineStr">
        <is>
          <t>TỶ GIÁ (VND/USD) / ĐƠN GIÁ</t>
        </is>
      </c>
      <c r="G27" s="32" t="inlineStr">
        <is>
          <t>THÀNH TIỀN QUY ĐỔI VNĐ (CHƯA VAT)</t>
        </is>
      </c>
      <c r="H27" s="32" t="inlineStr">
        <is>
          <t>THUẾ GTGT (8% / 0%)</t>
        </is>
      </c>
      <c r="I27" s="32" t="inlineStr">
        <is>
          <t>TỔNG THANH TOÁN (GỒM VAT)</t>
        </is>
      </c>
      <c r="J27" s="32" t="inlineStr">
        <is>
          <t>SỐ HÓA ĐƠN / CHỨNG TỪ ĐỐI CHIẾU</t>
        </is>
      </c>
      <c r="K27" s="32" t="inlineStr">
        <is>
          <t>HÌNH THỨC TT</t>
        </is>
      </c>
      <c r="L27" s="32" t="inlineStr">
        <is>
          <t>GHI CHÚ KIỂM TOÁN THUẾ</t>
        </is>
      </c>
    </row>
    <row r="28">
      <c r="A28" s="13" t="inlineStr">
        <is>
          <t>3.1</t>
        </is>
      </c>
      <c r="B28" s="15" t="inlineStr">
        <is>
          <t>Cước vận chuyển container HOWO 15.6m</t>
        </is>
      </c>
      <c r="C28" s="15" t="inlineStr">
        <is>
          <t>Tuyến: Kho Phú Thọ ➔ Cửa khẩu Lao Bảo</t>
        </is>
      </c>
      <c r="D28" s="13" t="inlineStr">
        <is>
          <t>Chuyến</t>
        </is>
      </c>
      <c r="E28" s="39" t="n">
        <v>1</v>
      </c>
      <c r="F28" s="60" t="n">
        <v>0</v>
      </c>
      <c r="G28" s="18">
        <f>E28*F28</f>
        <v/>
      </c>
      <c r="H28" s="18">
        <f>G28*0.08</f>
        <v/>
      </c>
      <c r="I28" s="18">
        <f>G28+H28</f>
        <v/>
      </c>
      <c r="J28" s="15" t="inlineStr">
        <is>
          <t>HĐ 00000217 (Vĩnh Thành)</t>
        </is>
      </c>
      <c r="K28" s="13" t="inlineStr">
        <is>
          <t>MB Bank UNC</t>
        </is>
      </c>
      <c r="L28" s="15" t="inlineStr">
        <is>
          <t>Hóa đơn VAT 8% (Hợp đồng VC)</t>
        </is>
      </c>
    </row>
    <row r="29">
      <c r="A29" s="13" t="inlineStr">
        <is>
          <t>3.2</t>
        </is>
      </c>
      <c r="B29" s="15" t="inlineStr">
        <is>
          <t>Phí lưu xe HOWO 15.6m tại bãi Lao Bảo</t>
        </is>
      </c>
      <c r="C29" s="15" t="inlineStr">
        <is>
          <t>[Số ngày lưu]</t>
        </is>
      </c>
      <c r="D29" s="13" t="inlineStr">
        <is>
          <t>Ngày</t>
        </is>
      </c>
      <c r="E29" s="39" t="n">
        <v>0</v>
      </c>
      <c r="F29" s="60" t="n">
        <v>0</v>
      </c>
      <c r="G29" s="18">
        <f>E29*F29</f>
        <v/>
      </c>
      <c r="H29" s="18">
        <f>G29*0.08</f>
        <v/>
      </c>
      <c r="I29" s="18">
        <f>G29+H29</f>
        <v/>
      </c>
      <c r="J29" s="15" t="inlineStr">
        <is>
          <t>HĐ 00000217 (Vĩnh Thành)</t>
        </is>
      </c>
      <c r="K29" s="13" t="inlineStr">
        <is>
          <t>MB Bank UNC</t>
        </is>
      </c>
      <c r="L29" s="15" t="inlineStr">
        <is>
          <t>Hóa đơn VAT 8% (Phụ lục điều xe)</t>
        </is>
      </c>
    </row>
    <row r="30">
      <c r="A30" s="13" t="inlineStr">
        <is>
          <t>3.3</t>
        </is>
      </c>
      <c r="B30" s="15" t="inlineStr">
        <is>
          <t>Phí dịch vụ Đại lý Hải quan &amp; C/O Bình An</t>
        </is>
      </c>
      <c r="C30" s="15" t="inlineStr">
        <is>
          <t>Khai B11, C/O Form D eCoSys, Biên phòng</t>
        </is>
      </c>
      <c r="D30" s="13" t="inlineStr">
        <is>
          <t>Lô</t>
        </is>
      </c>
      <c r="E30" s="39" t="n">
        <v>1</v>
      </c>
      <c r="F30" s="60" t="n">
        <v>0</v>
      </c>
      <c r="G30" s="18" t="n">
        <v>0</v>
      </c>
      <c r="H30" s="18" t="n">
        <v>0</v>
      </c>
      <c r="I30" s="18">
        <f>G30+H30</f>
        <v/>
      </c>
      <c r="J30" s="15" t="inlineStr">
        <is>
          <t>Phiếu thu / HĐ Bình An</t>
        </is>
      </c>
      <c r="K30" s="13" t="inlineStr">
        <is>
          <t>Chuyển khoản</t>
        </is>
      </c>
      <c r="L30" s="15" t="inlineStr">
        <is>
          <t>Dịch vụ thông quan trọn gói cửa khẩu</t>
        </is>
      </c>
    </row>
    <row r="31">
      <c r="A31" s="13" t="inlineStr">
        <is>
          <t>3.4</t>
        </is>
      </c>
      <c r="B31" s="15" t="inlineStr">
        <is>
          <t>Lệ phí Hải quan B11 &amp; Hạ tầng bãi Lao Bảo</t>
        </is>
      </c>
      <c r="C31" s="15" t="inlineStr">
        <is>
          <t>Phí khai hải quan 20k + Phí bến bãi 250k</t>
        </is>
      </c>
      <c r="D31" s="13" t="inlineStr">
        <is>
          <t>Lô</t>
        </is>
      </c>
      <c r="E31" s="39" t="n">
        <v>1</v>
      </c>
      <c r="F31" s="60" t="n">
        <v>0</v>
      </c>
      <c r="G31" s="18" t="n">
        <v>0</v>
      </c>
      <c r="H31" s="18" t="n">
        <v>0</v>
      </c>
      <c r="I31" s="18">
        <f>G31+H31</f>
        <v/>
      </c>
      <c r="J31" s="15" t="inlineStr">
        <is>
          <t>Biên lai thu phí Nhà nước</t>
        </is>
      </c>
      <c r="K31" s="13" t="inlineStr">
        <is>
          <t>Tiền mặt</t>
        </is>
      </c>
      <c r="L31" s="15" t="inlineStr">
        <is>
          <t>Lệ phí NSNN không chịu VAT</t>
        </is>
      </c>
    </row>
    <row r="32">
      <c r="A32" s="27" t="inlineStr">
        <is>
          <t>—</t>
        </is>
      </c>
      <c r="B32" s="28" t="inlineStr">
        <is>
          <t>CỘNG CHI PHÍ VẬN TẢI &amp; LOGISTICS CHÍNH</t>
        </is>
      </c>
      <c r="C32" s="28" t="inlineStr">
        <is>
          <t>Tổng chi phí vận hành logistics cố định</t>
        </is>
      </c>
      <c r="D32" s="27" t="inlineStr">
        <is>
          <t>Gói</t>
        </is>
      </c>
      <c r="E32" s="40" t="n">
        <v>1</v>
      </c>
      <c r="F32" s="41" t="inlineStr"/>
      <c r="G32" s="30">
        <f>SUM(G28:G31)</f>
        <v/>
      </c>
      <c r="H32" s="30">
        <f>SUM(H28:H31)</f>
        <v/>
      </c>
      <c r="I32" s="30">
        <f>SUM(I28:I31)</f>
        <v/>
      </c>
      <c r="J32" s="28" t="inlineStr">
        <is>
          <t>HĐ Vĩnh Thành + Biên lai</t>
        </is>
      </c>
      <c r="K32" s="27" t="inlineStr">
        <is>
          <t>UNC / TM</t>
        </is>
      </c>
      <c r="L32" s="28" t="inlineStr">
        <is>
          <t>Kê khai vào chi phí hợp lý được trừ</t>
        </is>
      </c>
    </row>
    <row r="34">
      <c r="A34" s="11" t="inlineStr">
        <is>
          <t>PHẦN IV: PHỤ PHÍ PHÁT SINH NGOÀI THỰC TẾ CỬA KHẨU &amp; HIỆN TRƯỜNG (KHU VỰC NHẬP THÊM CHI PHÍ LINH HOẠT)</t>
        </is>
      </c>
    </row>
    <row r="35">
      <c r="A35" s="32" t="inlineStr">
        <is>
          <t>STT</t>
        </is>
      </c>
      <c r="B35" s="32" t="inlineStr">
        <is>
          <t>DANH MỤC HẠNG MỤC / KHOẢN MỤC CHI PHÍ</t>
        </is>
      </c>
      <c r="C35" s="32" t="inlineStr">
        <is>
          <t>QUY CÁCH / ĐỐI TÁC THỰC HIỆN</t>
        </is>
      </c>
      <c r="D35" s="32" t="inlineStr">
        <is>
          <t>ĐVT</t>
        </is>
      </c>
      <c r="E35" s="32" t="inlineStr">
        <is>
          <t>SỐ TIỀN USD / SỐ LƯỢNG</t>
        </is>
      </c>
      <c r="F35" s="32" t="inlineStr">
        <is>
          <t>TỶ GIÁ (VND/USD) / ĐƠN GIÁ</t>
        </is>
      </c>
      <c r="G35" s="32" t="inlineStr">
        <is>
          <t>THÀNH TIỀN QUY ĐỔI VNĐ (CHƯA VAT)</t>
        </is>
      </c>
      <c r="H35" s="32" t="inlineStr">
        <is>
          <t>THUẾ GTGT (8% / 0%)</t>
        </is>
      </c>
      <c r="I35" s="32" t="inlineStr">
        <is>
          <t>TỔNG THANH TOÁN (GỒM VAT)</t>
        </is>
      </c>
      <c r="J35" s="32" t="inlineStr">
        <is>
          <t>SỐ HÓA ĐƠN / CHỨNG TỪ ĐỐI CHIẾU</t>
        </is>
      </c>
      <c r="K35" s="32" t="inlineStr">
        <is>
          <t>HÌNH THỨC TT</t>
        </is>
      </c>
      <c r="L35" s="32" t="inlineStr">
        <is>
          <t>GHI CHÚ KIỂM TOÁN THUẾ</t>
        </is>
      </c>
    </row>
    <row r="36">
      <c r="A36" s="13" t="inlineStr">
        <is>
          <t>4.1</t>
        </is>
      </c>
      <c r="B36" s="15" t="inlineStr">
        <is>
          <t>Công bốc xếp chuyển tải 'thùng đấu thùng'</t>
        </is>
      </c>
      <c r="C36" s="15" t="inlineStr">
        <is>
          <t>[Số lượng thùng bốc]</t>
        </is>
      </c>
      <c r="D36" s="13" t="inlineStr">
        <is>
          <t>Thùng</t>
        </is>
      </c>
      <c r="E36" s="39" t="n">
        <v>0</v>
      </c>
      <c r="F36" s="60" t="n">
        <v>0</v>
      </c>
      <c r="G36" s="18" t="n">
        <v>0</v>
      </c>
      <c r="H36" s="18" t="n">
        <v>0</v>
      </c>
      <c r="I36" s="18">
        <f>G36+H36</f>
        <v/>
      </c>
      <c r="J36" s="15" t="inlineStr">
        <is>
          <t>Bảng kê 01/TNDN &amp; Mẫu 08</t>
        </is>
      </c>
      <c r="K36" s="13" t="inlineStr">
        <is>
          <t>Tiền mặt</t>
        </is>
      </c>
      <c r="L36" s="15" t="inlineStr">
        <is>
          <t>Có CCCD Tổ trưởng (Chi phí hợp lý TT96)</t>
        </is>
      </c>
    </row>
    <row r="37">
      <c r="A37" s="13" t="inlineStr">
        <is>
          <t>4.2</t>
        </is>
      </c>
      <c r="B37" s="15" t="inlineStr">
        <is>
          <t>Phí xử lý hồ sơ thay đổi phương án giao hàng</t>
        </is>
      </c>
      <c r="C37" s="15" t="inlineStr">
        <is>
          <t>Công văn 15/CV-GSS hủy xuất cảnh xe sang hàng</t>
        </is>
      </c>
      <c r="D37" s="13" t="inlineStr">
        <is>
          <t>Vụ</t>
        </is>
      </c>
      <c r="E37" s="39" t="n">
        <v>1</v>
      </c>
      <c r="F37" s="60" t="n">
        <v>0</v>
      </c>
      <c r="G37" s="18" t="n">
        <v>0</v>
      </c>
      <c r="H37" s="18" t="n">
        <v>0</v>
      </c>
      <c r="I37" s="18">
        <f>G37+H37</f>
        <v/>
      </c>
      <c r="J37" s="15" t="inlineStr">
        <is>
          <t>Công văn 15 có mộc Hải quan</t>
        </is>
      </c>
      <c r="K37" s="13" t="inlineStr">
        <is>
          <t>Chuyển khoản</t>
        </is>
      </c>
      <c r="L37" s="15" t="inlineStr">
        <is>
          <t>Phát sinh đột xuất tại hiện trường Lao Bảo</t>
        </is>
      </c>
    </row>
    <row r="38">
      <c r="A38" s="13" t="inlineStr">
        <is>
          <t>4.3</t>
        </is>
      </c>
      <c r="B38" s="15" t="inlineStr">
        <is>
          <t>Tiền phòng khách sạn nhân viên hiện trường</t>
        </is>
      </c>
      <c r="C38" s="15" t="inlineStr">
        <is>
          <t>[Số đêm lưu trú]</t>
        </is>
      </c>
      <c r="D38" s="13" t="inlineStr">
        <is>
          <t>Đêm</t>
        </is>
      </c>
      <c r="E38" s="39" t="n">
        <v>0</v>
      </c>
      <c r="F38" s="60" t="n">
        <v>0</v>
      </c>
      <c r="G38" s="18">
        <f>E38*F38</f>
        <v/>
      </c>
      <c r="H38" s="18">
        <f>G38*0.08</f>
        <v/>
      </c>
      <c r="I38" s="18">
        <f>G38+H38</f>
        <v/>
      </c>
      <c r="J38" s="15" t="inlineStr">
        <is>
          <t>HĐ 00001188 (Dư Hùng Phát)</t>
        </is>
      </c>
      <c r="K38" s="13" t="inlineStr">
        <is>
          <t>Hoàn ứng</t>
        </is>
      </c>
      <c r="L38" s="15" t="inlineStr">
        <is>
          <t>Hóa đơn VAT 8% (Giấy thanh toán KT-LOG-07)</t>
        </is>
      </c>
    </row>
    <row r="39">
      <c r="A39" s="42" t="inlineStr">
        <is>
          <t>4.4</t>
        </is>
      </c>
      <c r="B39" s="43" t="inlineStr">
        <is>
          <t>[Người dùng nhập thêm khoản phát sinh 01]</t>
        </is>
      </c>
      <c r="C39" s="43" t="inlineStr">
        <is>
          <t>Mô tả khoản chi phí phát sinh thực tế...</t>
        </is>
      </c>
      <c r="D39" s="42" t="inlineStr">
        <is>
          <t>Gói</t>
        </is>
      </c>
      <c r="E39" s="44" t="n">
        <v>0</v>
      </c>
      <c r="F39" s="45" t="n">
        <v>0</v>
      </c>
      <c r="G39" s="45" t="n">
        <v>0</v>
      </c>
      <c r="H39" s="45">
        <f>G39*0.08</f>
        <v/>
      </c>
      <c r="I39" s="45">
        <f>G39+H39</f>
        <v/>
      </c>
      <c r="J39" s="43" t="inlineStr">
        <is>
          <t>Chứng từ kèm theo...</t>
        </is>
      </c>
      <c r="K39" s="42" t="inlineStr">
        <is>
          <t>[Hình thức]</t>
        </is>
      </c>
      <c r="L39" s="43" t="inlineStr">
        <is>
          <t>Ghi chú thuế...</t>
        </is>
      </c>
    </row>
    <row r="40">
      <c r="A40" s="42" t="inlineStr">
        <is>
          <t>4.5</t>
        </is>
      </c>
      <c r="B40" s="43" t="inlineStr">
        <is>
          <t>[Người dùng nhập thêm khoản phát sinh 02]</t>
        </is>
      </c>
      <c r="C40" s="43" t="inlineStr">
        <is>
          <t>Mô tả khoản chi phí phát sinh thực tế...</t>
        </is>
      </c>
      <c r="D40" s="42" t="inlineStr">
        <is>
          <t>Gói</t>
        </is>
      </c>
      <c r="E40" s="44" t="n">
        <v>0</v>
      </c>
      <c r="F40" s="45" t="n">
        <v>0</v>
      </c>
      <c r="G40" s="45" t="n">
        <v>0</v>
      </c>
      <c r="H40" s="45">
        <f>G40*0.08</f>
        <v/>
      </c>
      <c r="I40" s="45">
        <f>G40+H40</f>
        <v/>
      </c>
      <c r="J40" s="43" t="inlineStr">
        <is>
          <t>Chứng từ kèm theo...</t>
        </is>
      </c>
      <c r="K40" s="42" t="inlineStr">
        <is>
          <t>[Hình thức]</t>
        </is>
      </c>
      <c r="L40" s="43" t="inlineStr">
        <is>
          <t>Ghi chú thuế...</t>
        </is>
      </c>
    </row>
    <row r="41">
      <c r="A41" s="42" t="inlineStr">
        <is>
          <t>4.6</t>
        </is>
      </c>
      <c r="B41" s="43" t="inlineStr">
        <is>
          <t>[Người dùng nhập thêm khoản phát sinh 03]</t>
        </is>
      </c>
      <c r="C41" s="43" t="inlineStr">
        <is>
          <t>Mô tả khoản chi phí phát sinh thực tế...</t>
        </is>
      </c>
      <c r="D41" s="42" t="inlineStr">
        <is>
          <t>Gói</t>
        </is>
      </c>
      <c r="E41" s="44" t="n">
        <v>0</v>
      </c>
      <c r="F41" s="45" t="n">
        <v>0</v>
      </c>
      <c r="G41" s="45" t="n">
        <v>0</v>
      </c>
      <c r="H41" s="45">
        <f>G41*0.08</f>
        <v/>
      </c>
      <c r="I41" s="45">
        <f>G41+H41</f>
        <v/>
      </c>
      <c r="J41" s="43" t="inlineStr">
        <is>
          <t>Chứng từ kèm theo...</t>
        </is>
      </c>
      <c r="K41" s="42" t="inlineStr">
        <is>
          <t>[Hình thức]</t>
        </is>
      </c>
      <c r="L41" s="43" t="inlineStr">
        <is>
          <t>Ghi chú thuế...</t>
        </is>
      </c>
    </row>
    <row r="42">
      <c r="A42" s="42" t="inlineStr">
        <is>
          <t>4.7</t>
        </is>
      </c>
      <c r="B42" s="43" t="inlineStr">
        <is>
          <t>[Người dùng nhập thêm khoản phát sinh 04]</t>
        </is>
      </c>
      <c r="C42" s="43" t="inlineStr">
        <is>
          <t>Mô tả khoản chi phí phát sinh thực tế...</t>
        </is>
      </c>
      <c r="D42" s="42" t="inlineStr">
        <is>
          <t>Gói</t>
        </is>
      </c>
      <c r="E42" s="44" t="n">
        <v>0</v>
      </c>
      <c r="F42" s="45" t="n">
        <v>0</v>
      </c>
      <c r="G42" s="45" t="n">
        <v>0</v>
      </c>
      <c r="H42" s="45">
        <f>G42*0.08</f>
        <v/>
      </c>
      <c r="I42" s="45">
        <f>G42+H42</f>
        <v/>
      </c>
      <c r="J42" s="43" t="inlineStr">
        <is>
          <t>Chứng từ kèm theo...</t>
        </is>
      </c>
      <c r="K42" s="42" t="inlineStr">
        <is>
          <t>[Hình thức]</t>
        </is>
      </c>
      <c r="L42" s="43" t="inlineStr">
        <is>
          <t>Ghi chú thuế...</t>
        </is>
      </c>
    </row>
    <row r="43">
      <c r="A43" s="42" t="inlineStr">
        <is>
          <t>4.8</t>
        </is>
      </c>
      <c r="B43" s="43" t="inlineStr">
        <is>
          <t>[Người dùng nhập thêm khoản phát sinh 05]</t>
        </is>
      </c>
      <c r="C43" s="43" t="inlineStr">
        <is>
          <t>Mô tả khoản chi phí phát sinh thực tế...</t>
        </is>
      </c>
      <c r="D43" s="42" t="inlineStr">
        <is>
          <t>Gói</t>
        </is>
      </c>
      <c r="E43" s="44" t="n">
        <v>0</v>
      </c>
      <c r="F43" s="45" t="n">
        <v>0</v>
      </c>
      <c r="G43" s="45" t="n">
        <v>0</v>
      </c>
      <c r="H43" s="45">
        <f>G43*0.08</f>
        <v/>
      </c>
      <c r="I43" s="45">
        <f>G43+H43</f>
        <v/>
      </c>
      <c r="J43" s="43" t="inlineStr">
        <is>
          <t>Chứng từ kèm theo...</t>
        </is>
      </c>
      <c r="K43" s="42" t="inlineStr">
        <is>
          <t>[Hình thức]</t>
        </is>
      </c>
      <c r="L43" s="43" t="inlineStr">
        <is>
          <t>Ghi chú thuế...</t>
        </is>
      </c>
    </row>
    <row r="44">
      <c r="A44" s="27" t="inlineStr">
        <is>
          <t>—</t>
        </is>
      </c>
      <c r="B44" s="28" t="inlineStr">
        <is>
          <t>CỘNG TOÀN BỘ PHỤ PHÍ PHÁT SINH NGOÀI</t>
        </is>
      </c>
      <c r="C44" s="28" t="inlineStr">
        <is>
          <t>Tự động cộng dồn các khoản chi thực tế và nhập thêm</t>
        </is>
      </c>
      <c r="D44" s="27" t="inlineStr">
        <is>
          <t>Mục</t>
        </is>
      </c>
      <c r="E44" s="40">
        <f>COUNTIF(G36:G43,"&gt;0")</f>
        <v/>
      </c>
      <c r="F44" s="41" t="inlineStr"/>
      <c r="G44" s="30">
        <f>SUM(G36:G43)</f>
        <v/>
      </c>
      <c r="H44" s="30">
        <f>SUM(H36:H43)</f>
        <v/>
      </c>
      <c r="I44" s="30">
        <f>SUM(I36:I43)</f>
        <v/>
      </c>
      <c r="J44" s="28" t="inlineStr">
        <is>
          <t>Bảng kê + Hóa đơn lẻ</t>
        </is>
      </c>
      <c r="K44" s="27" t="inlineStr">
        <is>
          <t>Đa dạng</t>
        </is>
      </c>
      <c r="L44" s="28" t="inlineStr">
        <is>
          <t>Tự động tính thuế và phân bổ vào P&amp;L</t>
        </is>
      </c>
    </row>
    <row r="46">
      <c r="A46" s="46" t="inlineStr">
        <is>
          <t>PHẦN V: BẢNG TỔNG HỢP P&amp;L — PHÂN ĐỊNH 2 TẦNG LỢI NHUẬN (TRƯỚC KHI HOÀN THUẾ &amp; SAU KHI HOÀN THUẾ)</t>
        </is>
      </c>
    </row>
    <row r="48">
      <c r="A48" s="14" t="inlineStr">
        <is>
          <t>A</t>
        </is>
      </c>
      <c r="B48" s="47" t="inlineStr">
        <is>
          <t>TỔNG DOANH THU THỰC NHẬN TỪ 2 ĐỢT NGOẠI TỆ (FCA)</t>
        </is>
      </c>
      <c r="C48" s="47" t="n"/>
      <c r="D48" s="47" t="n"/>
      <c r="E48" s="47" t="n"/>
      <c r="F48" s="47" t="n"/>
      <c r="G48" s="38">
        <f>G19</f>
        <v/>
      </c>
      <c r="H48" s="38" t="n"/>
      <c r="I48" s="38" t="n"/>
      <c r="J48" s="48" t="inlineStr">
        <is>
          <t>Công thức Excel tự động</t>
        </is>
      </c>
      <c r="K48" s="48" t="n"/>
      <c r="L48" s="48" t="n"/>
    </row>
    <row r="49">
      <c r="A49" s="13" t="inlineStr">
        <is>
          <t>B</t>
        </is>
      </c>
      <c r="B49" s="15" t="inlineStr">
        <is>
          <t>1. Chi phí Giá vốn mua hàng Thiên Long (Phần II)</t>
        </is>
      </c>
      <c r="C49" s="15" t="n"/>
      <c r="D49" s="15" t="n"/>
      <c r="E49" s="15" t="n"/>
      <c r="F49" s="15" t="n"/>
      <c r="G49" s="18">
        <f>G24</f>
        <v/>
      </c>
      <c r="H49" s="18" t="n"/>
      <c r="I49" s="18" t="n"/>
      <c r="J49" s="48" t="inlineStr">
        <is>
          <t>Công thức Excel tự động</t>
        </is>
      </c>
      <c r="K49" s="48" t="n"/>
      <c r="L49" s="48" t="n"/>
    </row>
    <row r="50">
      <c r="A50" s="13" t="inlineStr">
        <is>
          <t>C</t>
        </is>
      </c>
      <c r="B50" s="15" t="inlineStr">
        <is>
          <t>2. Chi phí Vận tải &amp; Logistics chính tuyến (Phần III)</t>
        </is>
      </c>
      <c r="C50" s="15" t="n"/>
      <c r="D50" s="15" t="n"/>
      <c r="E50" s="15" t="n"/>
      <c r="F50" s="15" t="n"/>
      <c r="G50" s="18">
        <f>G32</f>
        <v/>
      </c>
      <c r="H50" s="18" t="n"/>
      <c r="I50" s="18" t="n"/>
      <c r="J50" s="48" t="inlineStr">
        <is>
          <t>Công thức Excel tự động</t>
        </is>
      </c>
      <c r="K50" s="48" t="n"/>
      <c r="L50" s="48" t="n"/>
    </row>
    <row r="51">
      <c r="A51" s="13" t="inlineStr">
        <is>
          <t>D</t>
        </is>
      </c>
      <c r="B51" s="15" t="inlineStr">
        <is>
          <t>3. Phụ phí phát sinh ngoài thực tế cửa khẩu &amp; hiện trường (Phần IV)</t>
        </is>
      </c>
      <c r="C51" s="15" t="n"/>
      <c r="D51" s="15" t="n"/>
      <c r="E51" s="15" t="n"/>
      <c r="F51" s="15" t="n"/>
      <c r="G51" s="18">
        <f>G44</f>
        <v/>
      </c>
      <c r="H51" s="18" t="n"/>
      <c r="I51" s="18" t="n"/>
      <c r="J51" s="48" t="inlineStr">
        <is>
          <t>Công thức Excel tự động</t>
        </is>
      </c>
      <c r="K51" s="48" t="n"/>
      <c r="L51" s="48" t="n"/>
    </row>
    <row r="52">
      <c r="A52" s="14" t="inlineStr">
        <is>
          <t>—</t>
        </is>
      </c>
      <c r="B52" s="49" t="inlineStr">
        <is>
          <t>➤ TỔNG CHI PHÍ THỰC TẾ CỦA ĐƠN HÀNG (CHƯA VAT)</t>
        </is>
      </c>
      <c r="C52" s="49" t="n"/>
      <c r="D52" s="49" t="n"/>
      <c r="E52" s="49" t="n"/>
      <c r="F52" s="49" t="n"/>
      <c r="G52" s="30">
        <f>SUM(G49:G51)</f>
        <v/>
      </c>
      <c r="H52" s="30" t="n"/>
      <c r="I52" s="30" t="n"/>
      <c r="J52" s="48" t="inlineStr">
        <is>
          <t>Công thức Excel tự động</t>
        </is>
      </c>
      <c r="K52" s="48" t="n"/>
      <c r="L52" s="48" t="n"/>
    </row>
    <row r="53">
      <c r="A53" s="14" t="inlineStr">
        <is>
          <t>—</t>
        </is>
      </c>
      <c r="B53" s="50" t="inlineStr">
        <is>
          <t>➤ TỔNG THUẾ GTGT ĐẦU VÀO ĐƯỢC KHẤU TRỪ / CHỜ HOÀN (8%)</t>
        </is>
      </c>
      <c r="C53" s="50" t="n"/>
      <c r="D53" s="50" t="n"/>
      <c r="E53" s="50" t="n"/>
      <c r="F53" s="50" t="n"/>
      <c r="G53" s="51">
        <f>H24+H32+H44</f>
        <v/>
      </c>
      <c r="H53" s="51" t="n"/>
      <c r="I53" s="51" t="n"/>
      <c r="J53" s="48" t="inlineStr">
        <is>
          <t>Công thức Excel tự động</t>
        </is>
      </c>
      <c r="K53" s="48" t="n"/>
      <c r="L53" s="48" t="n"/>
    </row>
    <row r="54">
      <c r="A54" s="14" t="inlineStr">
        <is>
          <t>—</t>
        </is>
      </c>
      <c r="B54" s="49" t="inlineStr">
        <is>
          <t>➤ TỔNG DÒNG TIỀN CHI TRẢ THỰC TẾ (BAO GỒM CẢ VAT)</t>
        </is>
      </c>
      <c r="C54" s="49" t="n"/>
      <c r="D54" s="49" t="n"/>
      <c r="E54" s="49" t="n"/>
      <c r="F54" s="49" t="n"/>
      <c r="G54" s="30">
        <f>I24+I32+I44</f>
        <v/>
      </c>
      <c r="H54" s="30" t="n"/>
      <c r="I54" s="30" t="n"/>
      <c r="J54" s="48" t="inlineStr">
        <is>
          <t>Công thức Excel tự động</t>
        </is>
      </c>
      <c r="K54" s="48" t="n"/>
      <c r="L54" s="48" t="n"/>
    </row>
    <row r="56">
      <c r="A56" s="14" t="inlineStr">
        <is>
          <t>E</t>
        </is>
      </c>
      <c r="B56" s="47" t="inlineStr">
        <is>
          <t>LỢI NHUẬN KẾ TOÁN TRƯỚC THUẾ (EBT = DOANH THU - TỔNG CHI PHÍ)</t>
        </is>
      </c>
      <c r="C56" s="47" t="n"/>
      <c r="D56" s="47" t="n"/>
      <c r="E56" s="47" t="n"/>
      <c r="F56" s="47" t="n"/>
      <c r="G56" s="38">
        <f>G48-G52</f>
        <v/>
      </c>
      <c r="H56" s="38" t="n"/>
      <c r="I56" s="38" t="n"/>
      <c r="J56" s="48" t="inlineStr">
        <is>
          <t>Công thức Excel tự động</t>
        </is>
      </c>
      <c r="K56" s="48" t="n"/>
      <c r="L56" s="48" t="n"/>
    </row>
    <row r="57">
      <c r="A57" s="13" t="inlineStr">
        <is>
          <t>F</t>
        </is>
      </c>
      <c r="B57" s="15" t="inlineStr">
        <is>
          <t>Tỷ suất Lợi nhuận Gộp trước thuế / Doanh thu (Gross Margin)</t>
        </is>
      </c>
      <c r="C57" s="15" t="n"/>
      <c r="D57" s="15" t="n"/>
      <c r="E57" s="15" t="n"/>
      <c r="F57" s="15" t="n"/>
      <c r="G57" s="21">
        <f>IF(G48&gt;0, G56/G48, 0)</f>
        <v/>
      </c>
      <c r="H57" s="21" t="n"/>
      <c r="I57" s="21" t="n"/>
      <c r="J57" s="48" t="inlineStr">
        <is>
          <t>Công thức Excel tự động</t>
        </is>
      </c>
      <c r="K57" s="48" t="n"/>
      <c r="L57" s="48" t="n"/>
    </row>
    <row r="58">
      <c r="A58" s="13" t="inlineStr">
        <is>
          <t>G</t>
        </is>
      </c>
      <c r="B58" s="15" t="inlineStr">
        <is>
          <t>Thuế TNDN 20% tạm tính phải nộp (Đủ Bảng kê 01/TNDN bốc xếp)</t>
        </is>
      </c>
      <c r="C58" s="15" t="n"/>
      <c r="D58" s="15" t="n"/>
      <c r="E58" s="15" t="n"/>
      <c r="F58" s="15" t="n"/>
      <c r="G58" s="18">
        <f>ROUND(G56*0.2, 0)</f>
        <v/>
      </c>
      <c r="H58" s="18" t="n"/>
      <c r="I58" s="18" t="n"/>
      <c r="J58" s="48" t="inlineStr">
        <is>
          <t>Công thức Excel tự động</t>
        </is>
      </c>
      <c r="K58" s="48" t="n"/>
      <c r="L58" s="48" t="n"/>
    </row>
    <row r="59">
      <c r="A59" s="13" t="inlineStr">
        <is>
          <t>H</t>
        </is>
      </c>
      <c r="B59" s="15" t="inlineStr">
        <is>
          <t>Thuế TNDN 20% trường hợp loại trừ 2,5M chi phí bốc xếp (B4)</t>
        </is>
      </c>
      <c r="C59" s="15" t="n"/>
      <c r="D59" s="15" t="n"/>
      <c r="E59" s="15" t="n"/>
      <c r="F59" s="15" t="n"/>
      <c r="G59" s="18">
        <f>ROUND((G56+2500000)*0.2, 0)</f>
        <v/>
      </c>
      <c r="H59" s="18" t="n"/>
      <c r="I59" s="18" t="n"/>
      <c r="J59" s="48" t="inlineStr">
        <is>
          <t>Công thức Excel tự động</t>
        </is>
      </c>
      <c r="K59" s="48" t="n"/>
      <c r="L59" s="48" t="n"/>
    </row>
    <row r="60">
      <c r="A60" s="14" t="inlineStr">
        <is>
          <t>I</t>
        </is>
      </c>
      <c r="B60" s="52" t="inlineStr">
        <is>
          <t>★ TẦNG 1: LỢI NHUẬN RÒNG TRƯỚC KHI HOÀN THUẾ (TIỀN TƯƠI NỘI BỘ)</t>
        </is>
      </c>
      <c r="C60" s="52" t="n"/>
      <c r="D60" s="52" t="n"/>
      <c r="E60" s="52" t="n"/>
      <c r="F60" s="52" t="n"/>
      <c r="G60" s="53">
        <f>G56-G58</f>
        <v/>
      </c>
      <c r="H60" s="53" t="n"/>
      <c r="I60" s="53" t="n"/>
      <c r="J60" s="48" t="inlineStr">
        <is>
          <t>Công thức Excel tự động</t>
        </is>
      </c>
      <c r="K60" s="48" t="n"/>
      <c r="L60" s="48" t="n"/>
    </row>
    <row r="61">
      <c r="A61" s="14" t="inlineStr">
        <is>
          <t>J</t>
        </is>
      </c>
      <c r="B61" s="52" t="inlineStr">
        <is>
          <t>★ TỶ SUẤT LỢI NHUẬN RÒNG TRƯỚC HOÀN THUẾ (ROS 1 THỰC NHẬN)</t>
        </is>
      </c>
      <c r="C61" s="52" t="n"/>
      <c r="D61" s="52" t="n"/>
      <c r="E61" s="52" t="n"/>
      <c r="F61" s="52" t="n"/>
      <c r="G61" s="54">
        <f>IF(G48&gt;0, G60/G48, 0)</f>
        <v/>
      </c>
      <c r="H61" s="54" t="n"/>
      <c r="I61" s="54" t="n"/>
      <c r="J61" s="48" t="inlineStr">
        <is>
          <t>Công thức Excel tự động</t>
        </is>
      </c>
      <c r="K61" s="48" t="n"/>
      <c r="L61" s="48" t="n"/>
    </row>
    <row r="62">
      <c r="A62" s="14" t="inlineStr">
        <is>
          <t>K</t>
        </is>
      </c>
      <c r="B62" s="50" t="inlineStr">
        <is>
          <t>Dòng tiền Hoàn thuế GTGT 0% đầu vào thu về (Khi tích lũy đủ ≥ 300M)</t>
        </is>
      </c>
      <c r="C62" s="50" t="n"/>
      <c r="D62" s="50" t="n"/>
      <c r="E62" s="50" t="n"/>
      <c r="F62" s="50" t="n"/>
      <c r="G62" s="51">
        <f>G53</f>
        <v/>
      </c>
      <c r="H62" s="51" t="n"/>
      <c r="I62" s="51" t="n"/>
      <c r="J62" s="48" t="inlineStr">
        <is>
          <t>Công thức Excel tự động</t>
        </is>
      </c>
      <c r="K62" s="48" t="n"/>
      <c r="L62" s="48" t="n"/>
    </row>
    <row r="63">
      <c r="A63" s="14" t="inlineStr">
        <is>
          <t>L</t>
        </is>
      </c>
      <c r="B63" s="55" t="inlineStr">
        <is>
          <t>★★ TẦNG 2: LỢI NHUẬN RÒNG TỔNG THỂ DÀI HẠN (SAU KHI HOÀN THUẾ)</t>
        </is>
      </c>
      <c r="C63" s="55" t="n"/>
      <c r="D63" s="55" t="n"/>
      <c r="E63" s="55" t="n"/>
      <c r="F63" s="55" t="n"/>
      <c r="G63" s="56">
        <f>G60+G62</f>
        <v/>
      </c>
      <c r="H63" s="56" t="n"/>
      <c r="I63" s="56" t="n"/>
      <c r="J63" s="48" t="inlineStr">
        <is>
          <t>Công thức Excel tự động</t>
        </is>
      </c>
      <c r="K63" s="48" t="n"/>
      <c r="L63" s="48" t="n"/>
    </row>
    <row r="64">
      <c r="A64" s="14" t="inlineStr">
        <is>
          <t>M</t>
        </is>
      </c>
      <c r="B64" s="47" t="inlineStr">
        <is>
          <t>★★ TỶ SUẤT LỢI NHUẬN RÒNG DÀI HẠN (ROS 2 SAU HOÀN THUẾ)</t>
        </is>
      </c>
      <c r="C64" s="47" t="n"/>
      <c r="D64" s="47" t="n"/>
      <c r="E64" s="47" t="n"/>
      <c r="F64" s="47" t="n"/>
      <c r="G64" s="57">
        <f>IF(G48&gt;0, G63/G48, 0)</f>
        <v/>
      </c>
      <c r="H64" s="57" t="n"/>
      <c r="I64" s="57" t="n"/>
      <c r="J64" s="48" t="inlineStr">
        <is>
          <t>Công thức Excel tự động</t>
        </is>
      </c>
      <c r="K64" s="48" t="n"/>
      <c r="L64" s="48" t="n"/>
    </row>
    <row r="65">
      <c r="A65" s="13" t="inlineStr">
        <is>
          <t>N</t>
        </is>
      </c>
      <c r="B65" s="15" t="inlineStr">
        <is>
          <t>Tỷ lệ Chi phí trên Doanh thu (Cost to Revenue Ratio)</t>
        </is>
      </c>
      <c r="C65" s="15" t="n"/>
      <c r="D65" s="15" t="n"/>
      <c r="E65" s="15" t="n"/>
      <c r="F65" s="15" t="n"/>
      <c r="G65" s="21">
        <f>IF(G48&gt;0, G52/G48, 0)</f>
        <v/>
      </c>
      <c r="H65" s="21" t="n"/>
      <c r="I65" s="21" t="n"/>
      <c r="J65" s="48" t="inlineStr">
        <is>
          <t>Công thức Excel tự động</t>
        </is>
      </c>
      <c r="K65" s="48" t="n"/>
      <c r="L65" s="48" t="n"/>
    </row>
    <row r="67">
      <c r="A67" s="58" t="inlineStr">
        <is>
          <t>NGƯỜI LẬP BIỂU</t>
        </is>
      </c>
      <c r="D67" s="58" t="inlineStr">
        <is>
          <t>NHÂN VIÊN HIỆN TRƯỜNG</t>
        </is>
      </c>
      <c r="G67" s="58" t="inlineStr">
        <is>
          <t>KẾ TOÁN TRƯỞNG</t>
        </is>
      </c>
      <c r="J67" s="58" t="inlineStr">
        <is>
          <t>GIÁM ĐỐC ĐẠI DIỆN PHÁP LUẬT</t>
        </is>
      </c>
    </row>
    <row r="68">
      <c r="A68" s="59" t="inlineStr">
        <is>
          <t>(Ký, ghi rõ họ tên)</t>
        </is>
      </c>
      <c r="D68" s="59" t="inlineStr">
        <is>
          <t>(Ký, xác nhận phụ phí)</t>
        </is>
      </c>
      <c r="G68" s="59" t="inlineStr">
        <is>
          <t>(Ký, kiểm soát hóa đơn)</t>
        </is>
      </c>
      <c r="J68" s="59" t="inlineStr">
        <is>
          <t>(Ký, đóng dấu duyệt chi)</t>
        </is>
      </c>
    </row>
    <row r="72">
      <c r="A72" s="58" t="inlineStr">
        <is>
          <t>Bộ phận Kế toán GSS</t>
        </is>
      </c>
      <c r="D72" s="58" t="inlineStr">
        <is>
          <t>Đồng Thanh Tùng</t>
        </is>
      </c>
      <c r="G72" s="58" t="inlineStr">
        <is>
          <t>Phụ trách Tài chính Kế toán</t>
        </is>
      </c>
      <c r="J72" s="58" t="inlineStr">
        <is>
          <t>NGUYỄN VĂN TRUNG</t>
        </is>
      </c>
    </row>
  </sheetData>
  <mergeCells count="80">
    <mergeCell ref="A46:L46"/>
    <mergeCell ref="G62:I62"/>
    <mergeCell ref="A21:L21"/>
    <mergeCell ref="E8:F8"/>
    <mergeCell ref="B58:F58"/>
    <mergeCell ref="B52:F52"/>
    <mergeCell ref="A26:L26"/>
    <mergeCell ref="G65:I65"/>
    <mergeCell ref="B60:F60"/>
    <mergeCell ref="J50:L50"/>
    <mergeCell ref="G63:I63"/>
    <mergeCell ref="B53:F53"/>
    <mergeCell ref="G50:I50"/>
    <mergeCell ref="J52:L52"/>
    <mergeCell ref="J61:L61"/>
    <mergeCell ref="J48:L48"/>
    <mergeCell ref="G52:I52"/>
    <mergeCell ref="A34:L34"/>
    <mergeCell ref="J72:L72"/>
    <mergeCell ref="A9:B9"/>
    <mergeCell ref="B54:F54"/>
    <mergeCell ref="J65:L65"/>
    <mergeCell ref="B56:F56"/>
    <mergeCell ref="J63:L63"/>
    <mergeCell ref="A14:L14"/>
    <mergeCell ref="G64:I64"/>
    <mergeCell ref="D68:F68"/>
    <mergeCell ref="G51:I51"/>
    <mergeCell ref="B57:F57"/>
    <mergeCell ref="G54:I54"/>
    <mergeCell ref="D67:F67"/>
    <mergeCell ref="A67:C67"/>
    <mergeCell ref="G56:I56"/>
    <mergeCell ref="I8:J8"/>
    <mergeCell ref="A8:B8"/>
    <mergeCell ref="C8:D8"/>
    <mergeCell ref="J67:L67"/>
    <mergeCell ref="J60:L60"/>
    <mergeCell ref="G9:H9"/>
    <mergeCell ref="I9:J9"/>
    <mergeCell ref="J53:L53"/>
    <mergeCell ref="B62:F62"/>
    <mergeCell ref="G53:I53"/>
    <mergeCell ref="B59:F59"/>
    <mergeCell ref="K9:L9"/>
    <mergeCell ref="G68:I68"/>
    <mergeCell ref="G58:I58"/>
    <mergeCell ref="J54:L54"/>
    <mergeCell ref="B48:F48"/>
    <mergeCell ref="J56:L56"/>
    <mergeCell ref="A72:C72"/>
    <mergeCell ref="K8:L8"/>
    <mergeCell ref="J58:L58"/>
    <mergeCell ref="G72:I72"/>
    <mergeCell ref="B65:F65"/>
    <mergeCell ref="J57:L57"/>
    <mergeCell ref="J59:L59"/>
    <mergeCell ref="B63:F63"/>
    <mergeCell ref="B50:F50"/>
    <mergeCell ref="J68:L68"/>
    <mergeCell ref="J49:L49"/>
    <mergeCell ref="G57:I57"/>
    <mergeCell ref="G49:I49"/>
    <mergeCell ref="G8:H8"/>
    <mergeCell ref="D72:F72"/>
    <mergeCell ref="B61:F61"/>
    <mergeCell ref="C9:D9"/>
    <mergeCell ref="E9:F9"/>
    <mergeCell ref="J51:L51"/>
    <mergeCell ref="A68:C68"/>
    <mergeCell ref="J62:L62"/>
    <mergeCell ref="G60:I60"/>
    <mergeCell ref="G59:I59"/>
    <mergeCell ref="J64:L64"/>
    <mergeCell ref="B49:F49"/>
    <mergeCell ref="B64:F64"/>
    <mergeCell ref="G67:I67"/>
    <mergeCell ref="G61:I61"/>
    <mergeCell ref="B51:F51"/>
    <mergeCell ref="G48:I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4" customWidth="1" min="5" max="5"/>
    <col width="34" customWidth="1" min="6" max="6"/>
    <col width="14" customWidth="1" min="7" max="7"/>
    <col width="28" customWidth="1" min="8" max="8"/>
    <col width="22" customWidth="1" min="9" max="9"/>
    <col width="11" customWidth="1" min="10" max="10"/>
    <col width="19" customWidth="1" min="11" max="11"/>
    <col width="22" customWidth="1" min="12" max="12"/>
    <col width="28" customWidth="1" min="13" max="13"/>
    <col width="22" customWidth="1" min="14" max="14"/>
  </cols>
  <sheetData>
    <row r="1">
      <c r="A1" s="1" t="inlineStr">
        <is>
          <t>CÔNG TY TNHH GLOBAL SOLUTION SERVICE (G-SS CO.,LTD)</t>
        </is>
      </c>
    </row>
    <row r="2">
      <c r="A2" s="3" t="inlineStr">
        <is>
          <t>SỔ THEO DÕI CHI TIẾT THUẾ GTGT ĐẦU VÀO ĐƯỢC KHẤU TRỪ &amp; HOÀN THUẾ XUẤT KHẨU (TK 1331)</t>
        </is>
      </c>
    </row>
    <row r="3">
      <c r="A3" s="2" t="inlineStr">
        <is>
          <t>Căn cứ Thông tư 200/2014/TT-BTC &amp; Thông tư 80/2021/TT-BTC — Chỉ ghi nhận hóa đơn thực tế phát sinh</t>
        </is>
      </c>
    </row>
    <row r="5">
      <c r="A5" s="12" t="inlineStr">
        <is>
          <t>STT</t>
        </is>
      </c>
      <c r="B5" s="12" t="inlineStr">
        <is>
          <t>NGÀY HÓA ĐƠN</t>
        </is>
      </c>
      <c r="C5" s="12" t="inlineStr">
        <is>
          <t>MÃ ĐƠN</t>
        </is>
      </c>
      <c r="D5" s="12" t="inlineStr">
        <is>
          <t>KÝ HIỆU HĐ</t>
        </is>
      </c>
      <c r="E5" s="12" t="inlineStr">
        <is>
          <t>SỐ HÓA ĐƠN</t>
        </is>
      </c>
      <c r="F5" s="12" t="inlineStr">
        <is>
          <t>TÊN NHÀ CUNG CẤP / ĐƠN VỊ BÁN</t>
        </is>
      </c>
      <c r="G5" s="12" t="inlineStr">
        <is>
          <t>MST BÊN BÁN</t>
        </is>
      </c>
      <c r="H5" s="12" t="inlineStr">
        <is>
          <t>NỘI DUNG MẶT HÀNG / DỊCH VỤ</t>
        </is>
      </c>
      <c r="I5" s="12" t="inlineStr">
        <is>
          <t>DOANH SỐ CHƯA THUẾ (VNĐ)</t>
        </is>
      </c>
      <c r="J5" s="12" t="inlineStr">
        <is>
          <t>THUẾ SUẤT</t>
        </is>
      </c>
      <c r="K5" s="12" t="inlineStr">
        <is>
          <t>THUẾ GTGT 8% (VNĐ)</t>
        </is>
      </c>
      <c r="L5" s="12" t="inlineStr">
        <is>
          <t>LŨY KẾ SỐ DƯ TK 1331</t>
        </is>
      </c>
      <c r="M5" s="12" t="inlineStr">
        <is>
          <t>CHỨNG TỪ THANH TOÁN MB BANK</t>
        </is>
      </c>
      <c r="N5" s="12" t="inlineStr">
        <is>
          <t>ĐIỀU KIỆN HOÀN THUẾ</t>
        </is>
      </c>
    </row>
    <row r="6">
      <c r="A6" s="13" t="n">
        <v>1</v>
      </c>
      <c r="B6" s="13" t="inlineStr">
        <is>
          <t>21/09/2026</t>
        </is>
      </c>
      <c r="C6" s="13" t="inlineStr">
        <is>
          <t>269901</t>
        </is>
      </c>
      <c r="D6" s="13" t="inlineStr">
        <is>
          <t>1C26TTL</t>
        </is>
      </c>
      <c r="E6" s="13" t="inlineStr">
        <is>
          <t>00000845</t>
        </is>
      </c>
      <c r="F6" s="15" t="inlineStr">
        <is>
          <t>Công ty TNHH Đầu tư TM CN Thiên Long</t>
        </is>
      </c>
      <c r="G6" s="13" t="inlineStr">
        <is>
          <t>2601077991</t>
        </is>
      </c>
      <c r="H6" s="15" t="inlineStr">
        <is>
          <t>1.300 thùng Snack Quẩy Giòn Giòn</t>
        </is>
      </c>
      <c r="I6" s="18" t="n">
        <v>358600000</v>
      </c>
      <c r="J6" s="13" t="inlineStr">
        <is>
          <t>8%</t>
        </is>
      </c>
      <c r="K6" s="17">
        <f>I6*0.08</f>
        <v/>
      </c>
      <c r="L6" s="20">
        <f>K6</f>
        <v/>
      </c>
      <c r="M6" s="15" t="inlineStr">
        <is>
          <t>UNC MB 21092601 (387.288.000 đ)</t>
        </is>
      </c>
      <c r="N6" s="13" t="inlineStr">
        <is>
          <t>ĐÃ ĐẠT (Thanh toán NH)</t>
        </is>
      </c>
    </row>
    <row r="7">
      <c r="A7" s="13" t="n">
        <v>2</v>
      </c>
      <c r="B7" s="13" t="inlineStr">
        <is>
          <t>22/09/2026</t>
        </is>
      </c>
      <c r="C7" s="13" t="inlineStr">
        <is>
          <t>269901</t>
        </is>
      </c>
      <c r="D7" s="13" t="inlineStr">
        <is>
          <t>1C26TVT</t>
        </is>
      </c>
      <c r="E7" s="13" t="inlineStr">
        <is>
          <t>00000217</t>
        </is>
      </c>
      <c r="F7" s="15" t="inlineStr">
        <is>
          <t>Công ty CP Dịch vụ Vận tải Vĩnh Thành</t>
        </is>
      </c>
      <c r="G7" s="13" t="inlineStr">
        <is>
          <t>0108992145</t>
        </is>
      </c>
      <c r="H7" s="15" t="inlineStr">
        <is>
          <t>Cước vận chuyển container HOWO Lao Bảo</t>
        </is>
      </c>
      <c r="I7" s="18" t="n">
        <v>22000000</v>
      </c>
      <c r="J7" s="13" t="inlineStr">
        <is>
          <t>8%</t>
        </is>
      </c>
      <c r="K7" s="17">
        <f>I7*0.08</f>
        <v/>
      </c>
      <c r="L7" s="20">
        <f>L6+K7</f>
        <v/>
      </c>
      <c r="M7" s="15" t="inlineStr">
        <is>
          <t>UNC MB 22092602 (23.760.000 đ)</t>
        </is>
      </c>
      <c r="N7" s="13" t="inlineStr">
        <is>
          <t>ĐÃ ĐẠT (Thanh toán NH)</t>
        </is>
      </c>
    </row>
    <row r="8">
      <c r="A8" s="13" t="n">
        <v>3</v>
      </c>
      <c r="B8" s="13" t="inlineStr">
        <is>
          <t>23/09/2026</t>
        </is>
      </c>
      <c r="C8" s="13" t="inlineStr">
        <is>
          <t>269901</t>
        </is>
      </c>
      <c r="D8" s="13" t="inlineStr">
        <is>
          <t>1C26TVT</t>
        </is>
      </c>
      <c r="E8" s="13" t="inlineStr">
        <is>
          <t>00000218</t>
        </is>
      </c>
      <c r="F8" s="15" t="inlineStr">
        <is>
          <t>Công ty CP Dịch vụ Vận tải Vĩnh Thành</t>
        </is>
      </c>
      <c r="G8" s="13" t="inlineStr">
        <is>
          <t>0108992145</t>
        </is>
      </c>
      <c r="H8" s="15" t="inlineStr">
        <is>
          <t>Phí lưu xe HOWO 2 ngày bãi Lao Bảo</t>
        </is>
      </c>
      <c r="I8" s="18" t="n">
        <v>4629630</v>
      </c>
      <c r="J8" s="13" t="inlineStr">
        <is>
          <t>8%</t>
        </is>
      </c>
      <c r="K8" s="17">
        <f>I8*0.08</f>
        <v/>
      </c>
      <c r="L8" s="20">
        <f>L7+K8</f>
        <v/>
      </c>
      <c r="M8" s="15" t="inlineStr">
        <is>
          <t>UNC MB 23092601 (5.000.000 đ)</t>
        </is>
      </c>
      <c r="N8" s="13" t="inlineStr">
        <is>
          <t>ĐÃ ĐẠT (Thanh toán NH)</t>
        </is>
      </c>
    </row>
    <row r="9">
      <c r="A9" s="13" t="n">
        <v>4</v>
      </c>
      <c r="B9" s="13" t="inlineStr">
        <is>
          <t>23/09/2026</t>
        </is>
      </c>
      <c r="C9" s="13" t="inlineStr">
        <is>
          <t>269901</t>
        </is>
      </c>
      <c r="D9" s="13" t="inlineStr">
        <is>
          <t>1C26TDH</t>
        </is>
      </c>
      <c r="E9" s="13" t="inlineStr">
        <is>
          <t>00001188</t>
        </is>
      </c>
      <c r="F9" s="15" t="inlineStr">
        <is>
          <t>Khách sạn Dư Hùng Phát Lao Bảo</t>
        </is>
      </c>
      <c r="G9" s="13" t="inlineStr">
        <is>
          <t>3200654321</t>
        </is>
      </c>
      <c r="H9" s="15" t="inlineStr">
        <is>
          <t>Tiền phòng nhân viên hiện trường (2 đêm)</t>
        </is>
      </c>
      <c r="I9" s="18" t="n">
        <v>740740</v>
      </c>
      <c r="J9" s="13" t="inlineStr">
        <is>
          <t>8%</t>
        </is>
      </c>
      <c r="K9" s="17">
        <f>I9*0.08</f>
        <v/>
      </c>
      <c r="L9" s="20">
        <f>L8+K9</f>
        <v/>
      </c>
      <c r="M9" s="15" t="inlineStr">
        <is>
          <t>Giấy thanh toán hoàn ứng kèm HĐ</t>
        </is>
      </c>
      <c r="N9" s="13" t="inlineStr">
        <is>
          <t>ĐÃ ĐẠT (Hóa đơn hợp pháp)</t>
        </is>
      </c>
    </row>
    <row r="10">
      <c r="A10" s="13" t="n">
        <v>5</v>
      </c>
      <c r="B10" s="13" t="inlineStr">
        <is>
          <t>24/09/2026</t>
        </is>
      </c>
      <c r="C10" s="13" t="inlineStr">
        <is>
          <t>269901</t>
        </is>
      </c>
      <c r="D10" s="13" t="inlineStr">
        <is>
          <t>1C26TBA</t>
        </is>
      </c>
      <c r="E10" s="13" t="inlineStr">
        <is>
          <t>00000512</t>
        </is>
      </c>
      <c r="F10" s="15" t="inlineStr">
        <is>
          <t>Đại lý Hải quan Bình An</t>
        </is>
      </c>
      <c r="G10" s="13" t="inlineStr">
        <is>
          <t>0109123456</t>
        </is>
      </c>
      <c r="H10" s="15" t="inlineStr">
        <is>
          <t>Phí dịch vụ hải quan &amp; C/O Form D</t>
        </is>
      </c>
      <c r="I10" s="18" t="n">
        <v>9229630</v>
      </c>
      <c r="J10" s="13" t="inlineStr">
        <is>
          <t>8%</t>
        </is>
      </c>
      <c r="K10" s="17">
        <f>I10*0.08</f>
        <v/>
      </c>
      <c r="L10" s="20">
        <f>L9+K10</f>
        <v/>
      </c>
      <c r="M10" s="15" t="inlineStr">
        <is>
          <t>UNC MB 24092601 (9.968.000 đ)</t>
        </is>
      </c>
      <c r="N10" s="13" t="inlineStr">
        <is>
          <t>ĐÃ ĐẠT (Thanh toán NH)</t>
        </is>
      </c>
    </row>
    <row r="11">
      <c r="A11" s="24" t="n">
        <v>6</v>
      </c>
      <c r="B11" s="24" t="inlineStr"/>
      <c r="C11" s="24" t="inlineStr">
        <is>
          <t>[Chờ phát sinh]</t>
        </is>
      </c>
      <c r="D11" s="24" t="inlineStr"/>
      <c r="E11" s="24" t="inlineStr"/>
      <c r="F11" s="25" t="inlineStr"/>
      <c r="G11" s="24" t="inlineStr"/>
      <c r="H11" s="25" t="inlineStr"/>
      <c r="I11" s="26" t="inlineStr"/>
      <c r="J11" s="24" t="inlineStr"/>
      <c r="K11" s="26" t="inlineStr"/>
      <c r="L11" s="26">
        <f>IF(K11="","",L10+K11)</f>
        <v/>
      </c>
      <c r="M11" s="25" t="inlineStr"/>
      <c r="N11" s="24" t="inlineStr"/>
    </row>
    <row r="12">
      <c r="A12" s="24" t="n">
        <v>7</v>
      </c>
      <c r="B12" s="24" t="inlineStr"/>
      <c r="C12" s="24" t="inlineStr">
        <is>
          <t>[Chờ phát sinh]</t>
        </is>
      </c>
      <c r="D12" s="24" t="inlineStr"/>
      <c r="E12" s="24" t="inlineStr"/>
      <c r="F12" s="25" t="inlineStr"/>
      <c r="G12" s="24" t="inlineStr"/>
      <c r="H12" s="25" t="inlineStr"/>
      <c r="I12" s="26" t="inlineStr"/>
      <c r="J12" s="24" t="inlineStr"/>
      <c r="K12" s="26" t="inlineStr"/>
      <c r="L12" s="26">
        <f>IF(K12="","",L11+K12)</f>
        <v/>
      </c>
      <c r="M12" s="25" t="inlineStr"/>
      <c r="N12" s="24" t="inlineStr"/>
    </row>
    <row r="13">
      <c r="A13" s="24" t="n">
        <v>8</v>
      </c>
      <c r="B13" s="24" t="inlineStr"/>
      <c r="C13" s="24" t="inlineStr">
        <is>
          <t>[Chờ phát sinh]</t>
        </is>
      </c>
      <c r="D13" s="24" t="inlineStr"/>
      <c r="E13" s="24" t="inlineStr"/>
      <c r="F13" s="25" t="inlineStr"/>
      <c r="G13" s="24" t="inlineStr"/>
      <c r="H13" s="25" t="inlineStr"/>
      <c r="I13" s="26" t="inlineStr"/>
      <c r="J13" s="24" t="inlineStr"/>
      <c r="K13" s="26" t="inlineStr"/>
      <c r="L13" s="26">
        <f>IF(K13="","",L12+K13)</f>
        <v/>
      </c>
      <c r="M13" s="25" t="inlineStr"/>
      <c r="N13" s="24" t="inlineStr"/>
    </row>
    <row r="14">
      <c r="A14" s="24" t="n">
        <v>9</v>
      </c>
      <c r="B14" s="24" t="inlineStr"/>
      <c r="C14" s="24" t="inlineStr">
        <is>
          <t>[Chờ phát sinh]</t>
        </is>
      </c>
      <c r="D14" s="24" t="inlineStr"/>
      <c r="E14" s="24" t="inlineStr"/>
      <c r="F14" s="25" t="inlineStr"/>
      <c r="G14" s="24" t="inlineStr"/>
      <c r="H14" s="25" t="inlineStr"/>
      <c r="I14" s="26" t="inlineStr"/>
      <c r="J14" s="24" t="inlineStr"/>
      <c r="K14" s="26" t="inlineStr"/>
      <c r="L14" s="26">
        <f>IF(K14="","",L13+K14)</f>
        <v/>
      </c>
      <c r="M14" s="25" t="inlineStr"/>
      <c r="N14" s="24" t="inlineStr"/>
    </row>
    <row r="15">
      <c r="A15" s="24" t="n">
        <v>10</v>
      </c>
      <c r="B15" s="24" t="inlineStr"/>
      <c r="C15" s="24" t="inlineStr">
        <is>
          <t>[Chờ phát sinh]</t>
        </is>
      </c>
      <c r="D15" s="24" t="inlineStr"/>
      <c r="E15" s="24" t="inlineStr"/>
      <c r="F15" s="25" t="inlineStr"/>
      <c r="G15" s="24" t="inlineStr"/>
      <c r="H15" s="25" t="inlineStr"/>
      <c r="I15" s="26" t="inlineStr"/>
      <c r="J15" s="24" t="inlineStr"/>
      <c r="K15" s="26" t="inlineStr"/>
      <c r="L15" s="26">
        <f>IF(K15="","",L14+K15)</f>
        <v/>
      </c>
      <c r="M15" s="25" t="inlineStr"/>
      <c r="N15" s="24" t="inlineStr"/>
    </row>
    <row r="16">
      <c r="A16" s="27" t="inlineStr">
        <is>
          <t>—</t>
        </is>
      </c>
      <c r="B16" s="27" t="inlineStr">
        <is>
          <t>TỔNG CỘNG</t>
        </is>
      </c>
      <c r="C16" s="27" t="inlineStr">
        <is>
          <t>LŨY KẾ HÓA ĐƠN THỰC TẾ ĐÃ PHÁT SINH</t>
        </is>
      </c>
      <c r="D16" s="27" t="n"/>
      <c r="E16" s="27" t="n"/>
      <c r="F16" s="28" t="n"/>
      <c r="G16" s="27" t="n"/>
      <c r="H16" s="28" t="n"/>
      <c r="I16" s="30">
        <f>SUM(I6:I15)</f>
        <v/>
      </c>
      <c r="J16" s="27" t="inlineStr">
        <is>
          <t>8%</t>
        </is>
      </c>
      <c r="K16" s="30">
        <f>SUM(K6:K15)</f>
        <v/>
      </c>
      <c r="L16" s="30">
        <f>K6+K7+K8+K9+K10</f>
        <v/>
      </c>
      <c r="M16" s="28" t="inlineStr">
        <is>
          <t>ĐỐI SOÁT KHỚP 100% SỔ PHỤ MB BANK</t>
        </is>
      </c>
      <c r="N16" s="27">
        <f>IF(L16&gt;=300000000, "ĐỦ ĐIỀU KIỆN HOÀN THUẾ", "ĐANG TÍCH LŨY (Chưa đủ 300M)")</f>
        <v/>
      </c>
    </row>
  </sheetData>
  <mergeCells count="1">
    <mergeCell ref="C16:H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8" customWidth="1" min="3" max="3"/>
    <col width="28" customWidth="1" min="4" max="4"/>
    <col width="22" customWidth="1" min="5" max="5"/>
    <col width="24" customWidth="1" min="6" max="6"/>
    <col width="36" customWidth="1" min="7" max="7"/>
  </cols>
  <sheetData>
    <row r="1">
      <c r="A1" s="1" t="inlineStr">
        <is>
          <t>CÔNG TY TNHH GLOBAL SOLUTION SERVICE (G-SS CO.,LTD)</t>
        </is>
      </c>
    </row>
    <row r="2">
      <c r="A2" s="3" t="inlineStr">
        <is>
          <t>CHECKLIST ĐỐI SOÁT HỒ SƠ HOÀN THUẾ GTGT 0% (4-WAY MATCHING AUDIT)</t>
        </is>
      </c>
    </row>
    <row r="3">
      <c r="A3" s="2" t="inlineStr">
        <is>
          <t>Đối chiếu 4 bên: (1) Hợp đồng ngoại thương — (2) Tờ khai hải quan thông quan — (3) Hóa đơn GTGT — (4) Chứng từ thanh toán ngân hàng</t>
        </is>
      </c>
    </row>
    <row r="5">
      <c r="A5" s="12" t="inlineStr">
        <is>
          <t>STT</t>
        </is>
      </c>
      <c r="B5" s="12" t="inlineStr">
        <is>
          <t>TRỤ CỘT KIỂM SOÁT</t>
        </is>
      </c>
      <c r="C5" s="12" t="inlineStr">
        <is>
          <t>TIÊU CHÍ ĐỐI SOÁT CHI TIẾT</t>
        </is>
      </c>
      <c r="D5" s="12" t="inlineStr">
        <is>
          <t>CĂN CỨ PHÁP LÝ &amp; QUY ĐỊNH</t>
        </is>
      </c>
      <c r="E5" s="12" t="inlineStr">
        <is>
          <t>ĐƠN 269901 (THỰC TẾ)</t>
        </is>
      </c>
      <c r="F5" s="12" t="inlineStr">
        <is>
          <t>ĐƠN HÀNG TIẾP THEO (MẪU)</t>
        </is>
      </c>
      <c r="G5" s="12" t="inlineStr">
        <is>
          <t>ĐÁNH GIÁ RỦI RO &amp; KHUYẾN NGHỊ CFO</t>
        </is>
      </c>
    </row>
    <row r="6">
      <c r="A6" s="13" t="n">
        <v>1</v>
      </c>
      <c r="B6" s="15" t="inlineStr">
        <is>
          <t>1. HỢP ĐỒNG NGOẠI THƯƠNG</t>
        </is>
      </c>
      <c r="C6" s="15" t="inlineStr">
        <is>
          <t>Hợp đồng ký kết với thương nhân nước ngoài</t>
        </is>
      </c>
      <c r="D6" s="15" t="inlineStr">
        <is>
          <t>Điều 16 TT 219/2013</t>
        </is>
      </c>
      <c r="E6" s="61" t="inlineStr">
        <is>
          <t>[ĐÃ ĐẠT]</t>
        </is>
      </c>
      <c r="F6" s="13" t="inlineStr">
        <is>
          <t>[CHỜ HỢP ĐỒNG MỚI]</t>
        </is>
      </c>
      <c r="G6" s="15" t="inlineStr">
        <is>
          <t>Bắt buộc có chữ ký &amp; con dấu đối tác</t>
        </is>
      </c>
    </row>
    <row r="7">
      <c r="A7" s="13" t="n">
        <v>2</v>
      </c>
      <c r="B7" s="15" t="inlineStr">
        <is>
          <t>1. HỢP ĐỒNG NGOẠI THƯƠNG</t>
        </is>
      </c>
      <c r="C7" s="15" t="inlineStr">
        <is>
          <t>Điều khoản thanh toán qua Ngân hàng T/T</t>
        </is>
      </c>
      <c r="D7" s="15" t="inlineStr">
        <is>
          <t>Khoản 2 Điều 16 TT 219</t>
        </is>
      </c>
      <c r="E7" s="61" t="inlineStr">
        <is>
          <t>[ĐÃ ĐẠT]</t>
        </is>
      </c>
      <c r="F7" s="13" t="inlineStr">
        <is>
          <t>[CHỜ HỢP ĐỒNG MỚI]</t>
        </is>
      </c>
      <c r="G7" s="15" t="inlineStr">
        <is>
          <t>Không chấp nhận thanh toán tiền mặt</t>
        </is>
      </c>
    </row>
    <row r="8">
      <c r="A8" s="13" t="n">
        <v>3</v>
      </c>
      <c r="B8" s="15" t="inlineStr">
        <is>
          <t>2. TỜ KHAI HẢI QUAN</t>
        </is>
      </c>
      <c r="C8" s="15" t="inlineStr">
        <is>
          <t>Tờ khai xuất khẩu B11 đã Thông quan</t>
        </is>
      </c>
      <c r="D8" s="15" t="inlineStr">
        <is>
          <t>Thông tư 38/2015 &amp; 39/2018</t>
        </is>
      </c>
      <c r="E8" s="61" t="inlineStr">
        <is>
          <t>[ĐÃ ĐẠT]</t>
        </is>
      </c>
      <c r="F8" s="13" t="inlineStr">
        <is>
          <t>[CHỜ THÔNG QUAN]</t>
        </is>
      </c>
      <c r="G8" s="15" t="inlineStr">
        <is>
          <t>Xác nhận thực xuất trên hệ thống VNACCS</t>
        </is>
      </c>
    </row>
    <row r="9">
      <c r="A9" s="13" t="n">
        <v>4</v>
      </c>
      <c r="B9" s="15" t="inlineStr">
        <is>
          <t>2. TỜ KHAI HẢI QUAN</t>
        </is>
      </c>
      <c r="C9" s="15" t="inlineStr">
        <is>
          <t>Giấy chứng nhận xuất xứ C/O Form D</t>
        </is>
      </c>
      <c r="D9" s="15" t="inlineStr">
        <is>
          <t>Hiệp định ATIGA</t>
        </is>
      </c>
      <c r="E9" s="61" t="inlineStr">
        <is>
          <t>[ĐÃ ĐẠT]</t>
        </is>
      </c>
      <c r="F9" s="13" t="inlineStr">
        <is>
          <t>[CHỜ CẤP ECOSYS]</t>
        </is>
      </c>
      <c r="G9" s="15" t="inlineStr">
        <is>
          <t>Cấp điện tử trên eCoSys của Bộ Công Thương</t>
        </is>
      </c>
    </row>
    <row r="10">
      <c r="A10" s="13" t="n">
        <v>5</v>
      </c>
      <c r="B10" s="15" t="inlineStr">
        <is>
          <t>3. HÓA ĐƠN GTGT</t>
        </is>
      </c>
      <c r="C10" s="15" t="inlineStr">
        <is>
          <t>Hóa đơn xuất khẩu GTGT 0% phát hành hợp lệ</t>
        </is>
      </c>
      <c r="D10" s="15" t="inlineStr">
        <is>
          <t>Nghị định 123/2020</t>
        </is>
      </c>
      <c r="E10" s="61" t="inlineStr">
        <is>
          <t>[ĐÃ ĐẠT]</t>
        </is>
      </c>
      <c r="F10" s="13" t="inlineStr">
        <is>
          <t>[CHỜ XUẤT HĐ 0%]</t>
        </is>
      </c>
      <c r="G10" s="15" t="inlineStr">
        <is>
          <t>Xuất trong ngày hoàn thành thông quan B11</t>
        </is>
      </c>
    </row>
    <row r="11">
      <c r="A11" s="13" t="n">
        <v>6</v>
      </c>
      <c r="B11" s="15" t="inlineStr">
        <is>
          <t>3. HÓA ĐƠN GTGT</t>
        </is>
      </c>
      <c r="C11" s="15" t="inlineStr">
        <is>
          <t>Hóa đơn mua hàng đầu vào (Thiên Long 8%)</t>
        </is>
      </c>
      <c r="D11" s="15" t="inlineStr">
        <is>
          <t>Thông tư 78/2021</t>
        </is>
      </c>
      <c r="E11" s="61" t="inlineStr">
        <is>
          <t>[ĐÃ ĐẠT]</t>
        </is>
      </c>
      <c r="F11" s="13" t="inlineStr">
        <is>
          <t>[CHỜ NHẬN HĐ ĐẦU VÀO]</t>
        </is>
      </c>
      <c r="G11" s="15" t="inlineStr">
        <is>
          <t>Tra cứu hợp pháp trên cổng hoadondientu.gdt.gov.vn</t>
        </is>
      </c>
    </row>
    <row r="12">
      <c r="A12" s="13" t="n">
        <v>7</v>
      </c>
      <c r="B12" s="15" t="inlineStr">
        <is>
          <t>3. HÓA ĐƠN GTGT</t>
        </is>
      </c>
      <c r="C12" s="15" t="inlineStr">
        <is>
          <t>Hóa đơn vận tải &amp; chi phí logistics (8%)</t>
        </is>
      </c>
      <c r="D12" s="15" t="inlineStr">
        <is>
          <t>Thông tư 78/2021</t>
        </is>
      </c>
      <c r="E12" s="61" t="inlineStr">
        <is>
          <t>[ĐÃ ĐẠT]</t>
        </is>
      </c>
      <c r="F12" s="13" t="inlineStr">
        <is>
          <t>[CHỜ HĐ VẬN TẢI]</t>
        </is>
      </c>
      <c r="G12" s="15" t="inlineStr">
        <is>
          <t>Đầy đủ biên bản giao nhận &amp; lộ trình xe</t>
        </is>
      </c>
    </row>
    <row r="13">
      <c r="A13" s="13" t="n">
        <v>8</v>
      </c>
      <c r="B13" s="15" t="inlineStr">
        <is>
          <t>4. CHỨNG TỪ NGÂN HÀNG</t>
        </is>
      </c>
      <c r="C13" s="15" t="inlineStr">
        <is>
          <t>Điện chuyển tiền kiều hối USD (Swift MT103)</t>
        </is>
      </c>
      <c r="D13" s="15" t="inlineStr">
        <is>
          <t>Điều 16 TT 219/2013</t>
        </is>
      </c>
      <c r="E13" s="61" t="inlineStr">
        <is>
          <t>[ĐÃ ĐẠT]</t>
        </is>
      </c>
      <c r="F13" s="13" t="inlineStr">
        <is>
          <t>[CHỜ BÁO CÓ USD]</t>
        </is>
      </c>
      <c r="G13" s="15" t="inlineStr">
        <is>
          <t>Tên người chuyển tiền khớp 100% người mua</t>
        </is>
      </c>
    </row>
    <row r="14">
      <c r="A14" s="13" t="n">
        <v>9</v>
      </c>
      <c r="B14" s="15" t="inlineStr">
        <is>
          <t>4. CHỨNG TỪ NGÂN HÀNG</t>
        </is>
      </c>
      <c r="C14" s="15" t="inlineStr">
        <is>
          <t>Giấy báo Có tài khoản ngoại tệ MB Bank</t>
        </is>
      </c>
      <c r="D14" s="15" t="inlineStr">
        <is>
          <t>Thông tư 200/2014</t>
        </is>
      </c>
      <c r="E14" s="61" t="inlineStr">
        <is>
          <t>[ĐÃ ĐẠT]</t>
        </is>
      </c>
      <c r="F14" s="13" t="inlineStr">
        <is>
          <t>[CHỜ BÁO CÓ USD]</t>
        </is>
      </c>
      <c r="G14" s="15" t="inlineStr">
        <is>
          <t>Số tiền khớp từng đợt giải ngân hợp đồng</t>
        </is>
      </c>
    </row>
    <row r="15">
      <c r="A15" s="13" t="n">
        <v>10</v>
      </c>
      <c r="B15" s="15" t="inlineStr">
        <is>
          <t>4. CHỨNG TỪ NGÂN HÀNG</t>
        </is>
      </c>
      <c r="C15" s="15" t="inlineStr">
        <is>
          <t>Ủy nhiệm chi (UNC) thanh toán đầu vào</t>
        </is>
      </c>
      <c r="D15" s="15" t="inlineStr">
        <is>
          <t>Khoản 3 Điều 15 TT 219</t>
        </is>
      </c>
      <c r="E15" s="61" t="inlineStr">
        <is>
          <t>[ĐÃ ĐẠT]</t>
        </is>
      </c>
      <c r="F15" s="13" t="inlineStr">
        <is>
          <t>[CHỜ UNC ĐẦU VÀO]</t>
        </is>
      </c>
      <c r="G15" s="15" t="inlineStr">
        <is>
          <t>Bắt buộc chuyển khoản cho hóa đơn ≥ 20 triệu VNĐ</t>
        </is>
      </c>
    </row>
    <row r="16">
      <c r="A16" s="13" t="n">
        <v>11</v>
      </c>
      <c r="B16" s="15" t="inlineStr">
        <is>
          <t>5. QUỸ HOÀN THUẾ</t>
        </is>
      </c>
      <c r="C16" s="15" t="inlineStr">
        <is>
          <t>Dồn tích lũy thuế GTGT đầu vào ≥ 300 triệu</t>
        </is>
      </c>
      <c r="D16" s="15" t="inlineStr">
        <is>
          <t>Điều 28 Luật Thuế GTGT</t>
        </is>
      </c>
      <c r="E16" s="14" t="inlineStr">
        <is>
          <t>37,2M đ (Đang dồn tích lũy)</t>
        </is>
      </c>
      <c r="F16" s="13" t="inlineStr">
        <is>
          <t>Chờ dồn tích lũy tiếp</t>
        </is>
      </c>
      <c r="G16" s="15" t="inlineStr">
        <is>
          <t>Dồn tích lũy qua các đơn tiếp theo đến khi đủ ≥ 300M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20" customWidth="1" min="4" max="4"/>
    <col width="32" customWidth="1" min="5" max="5"/>
  </cols>
  <sheetData>
    <row r="1">
      <c r="A1" s="3" t="inlineStr">
        <is>
          <t>DỮ LIỆU ĐỒNG BỘ NGUỒN SỰ THẬT DUY NHẤT (SSOT) — ORDER MANIFEST 269901</t>
        </is>
      </c>
    </row>
    <row r="2">
      <c r="A2" s="2" t="inlineStr">
        <is>
          <t>Tự động trích xuất từ file: order_manifest_269901.json (Khóa dữ liệu kiểm toán)</t>
        </is>
      </c>
    </row>
    <row r="4">
      <c r="A4" s="12" t="inlineStr">
        <is>
          <t>STT</t>
        </is>
      </c>
      <c r="B4" s="12" t="inlineStr">
        <is>
          <t>TRƯỜNG DỮ LIỆU (FIELD NAME)</t>
        </is>
      </c>
      <c r="C4" s="12" t="inlineStr">
        <is>
          <t>GIÁ TRỊ SSOT XÁC THỰC</t>
        </is>
      </c>
      <c r="D4" s="12" t="inlineStr">
        <is>
          <t>ĐƠN VỊ TÍNH / QUY CÁCH</t>
        </is>
      </c>
      <c r="E4" s="12" t="inlineStr">
        <is>
          <t>GHI CHÚ HỆ THỐNG / PHÂN QUYỀN</t>
        </is>
      </c>
    </row>
    <row r="5">
      <c r="A5" s="13" t="n">
        <v>1</v>
      </c>
      <c r="B5" s="55" t="inlineStr">
        <is>
          <t>order_id</t>
        </is>
      </c>
      <c r="C5" s="55" t="inlineStr">
        <is>
          <t>269901</t>
        </is>
      </c>
      <c r="D5" s="13" t="inlineStr">
        <is>
          <t>Mã đơn hàng nội bộ (YYMMDDNN: 26-9-9-01)</t>
        </is>
      </c>
      <c r="E5" s="15" t="inlineStr">
        <is>
          <t>Khóa SSOT</t>
        </is>
      </c>
    </row>
    <row r="6">
      <c r="A6" s="13" t="n">
        <v>2</v>
      </c>
      <c r="B6" s="55" t="inlineStr">
        <is>
          <t>contract_code</t>
        </is>
      </c>
      <c r="C6" s="55" t="inlineStr">
        <is>
          <t>GSSDIX_FCA_269901</t>
        </is>
      </c>
      <c r="D6" s="13" t="inlineStr">
        <is>
          <t>Số Hợp đồng Ngoại thương chuẩn</t>
        </is>
      </c>
      <c r="E6" s="15" t="inlineStr">
        <is>
          <t>Pháp lý</t>
        </is>
      </c>
    </row>
    <row r="7">
      <c r="A7" s="13" t="n">
        <v>3</v>
      </c>
      <c r="B7" s="55" t="inlineStr">
        <is>
          <t>buyer_name</t>
        </is>
      </c>
      <c r="C7" s="55" t="inlineStr">
        <is>
          <t>DUANGMANEE IMPORT-EXPORT CO., LTD</t>
        </is>
      </c>
      <c r="D7" s="13" t="inlineStr">
        <is>
          <t>Khách hàng mua (Thái Lan)</t>
        </is>
      </c>
      <c r="E7" s="15" t="inlineStr">
        <is>
          <t>Khách hàng</t>
        </is>
      </c>
    </row>
    <row r="8">
      <c r="A8" s="13" t="n">
        <v>4</v>
      </c>
      <c r="B8" s="55" t="inlineStr">
        <is>
          <t>seller_name</t>
        </is>
      </c>
      <c r="C8" s="55" t="inlineStr">
        <is>
          <t>CÔNG TY TNHH GLOBAL SOLUTION SERVICE</t>
        </is>
      </c>
      <c r="D8" s="13" t="inlineStr">
        <is>
          <t>Bên bán xuất khẩu (G-SS)</t>
        </is>
      </c>
      <c r="E8" s="15" t="inlineStr">
        <is>
          <t>Chủ thể</t>
        </is>
      </c>
    </row>
    <row r="9">
      <c r="A9" s="13" t="n">
        <v>5</v>
      </c>
      <c r="B9" s="55" t="inlineStr">
        <is>
          <t>seller_tax_id</t>
        </is>
      </c>
      <c r="C9" s="55" t="inlineStr">
        <is>
          <t>0109469047</t>
        </is>
      </c>
      <c r="D9" s="13" t="inlineStr">
        <is>
          <t>Mã số thuế GSS</t>
        </is>
      </c>
      <c r="E9" s="15" t="inlineStr">
        <is>
          <t>Pháp nhân</t>
        </is>
      </c>
    </row>
    <row r="10">
      <c r="A10" s="13" t="n">
        <v>6</v>
      </c>
      <c r="B10" s="55" t="inlineStr">
        <is>
          <t>customs_declaration_no</t>
        </is>
      </c>
      <c r="C10" s="55" t="inlineStr">
        <is>
          <t>107382910430</t>
        </is>
      </c>
      <c r="D10" s="13" t="inlineStr">
        <is>
          <t>Số Tờ khai Hải quan B11</t>
        </is>
      </c>
      <c r="E10" s="15" t="inlineStr">
        <is>
          <t>Hải quan</t>
        </is>
      </c>
    </row>
    <row r="11">
      <c r="A11" s="13" t="n">
        <v>7</v>
      </c>
      <c r="B11" s="55" t="inlineStr">
        <is>
          <t>customs_channel</t>
        </is>
      </c>
      <c r="C11" s="55" t="inlineStr">
        <is>
          <t>Vàng (Kiểm tra hồ sơ)</t>
        </is>
      </c>
      <c r="D11" s="13" t="inlineStr">
        <is>
          <t>Phân luồng Hải quan</t>
        </is>
      </c>
      <c r="E11" s="15" t="inlineStr">
        <is>
          <t>Thông quan</t>
        </is>
      </c>
    </row>
    <row r="12">
      <c r="A12" s="13" t="n">
        <v>8</v>
      </c>
      <c r="B12" s="55" t="inlineStr">
        <is>
          <t>export_date</t>
        </is>
      </c>
      <c r="C12" s="55" t="inlineStr">
        <is>
          <t>21/09/2026</t>
        </is>
      </c>
      <c r="D12" s="13" t="inlineStr">
        <is>
          <t>Ngày xuất cảnh thực tế</t>
        </is>
      </c>
      <c r="E12" s="15" t="inlineStr">
        <is>
          <t>Thời gian</t>
        </is>
      </c>
    </row>
    <row r="13">
      <c r="A13" s="13" t="n">
        <v>9</v>
      </c>
      <c r="B13" s="55" t="inlineStr">
        <is>
          <t>product_name</t>
        </is>
      </c>
      <c r="C13" s="55" t="inlineStr">
        <is>
          <t>Snack Quẩy Giòn Giòn</t>
        </is>
      </c>
      <c r="D13" s="13" t="inlineStr">
        <is>
          <t>Tên thương mại thành phẩm</t>
        </is>
      </c>
      <c r="E13" s="15" t="inlineStr">
        <is>
          <t>Sản phẩm</t>
        </is>
      </c>
    </row>
    <row r="14">
      <c r="A14" s="13" t="n">
        <v>10</v>
      </c>
      <c r="B14" s="55" t="inlineStr">
        <is>
          <t>hs_code</t>
        </is>
      </c>
      <c r="C14" s="55" t="inlineStr">
        <is>
          <t>1905.90.90</t>
        </is>
      </c>
      <c r="D14" s="13" t="inlineStr">
        <is>
          <t>Mã HS Code xuất khẩu</t>
        </is>
      </c>
      <c r="E14" s="15" t="inlineStr">
        <is>
          <t>Thuế 0%</t>
        </is>
      </c>
    </row>
    <row r="15">
      <c r="A15" s="13" t="n">
        <v>11</v>
      </c>
      <c r="B15" s="55" t="inlineStr">
        <is>
          <t>package_qty</t>
        </is>
      </c>
      <c r="C15" s="55" t="inlineStr">
        <is>
          <t>1.300</t>
        </is>
      </c>
      <c r="D15" s="13" t="inlineStr">
        <is>
          <t>Thùng carton 5 lớp</t>
        </is>
      </c>
      <c r="E15" s="15" t="inlineStr">
        <is>
          <t>Số lượng</t>
        </is>
      </c>
    </row>
    <row r="16">
      <c r="A16" s="13" t="n">
        <v>12</v>
      </c>
      <c r="B16" s="55" t="inlineStr">
        <is>
          <t>cups_qty</t>
        </is>
      </c>
      <c r="C16" s="55" t="inlineStr">
        <is>
          <t>390.000</t>
        </is>
      </c>
      <c r="D16" s="13" t="inlineStr">
        <is>
          <t>Cốc thành phẩm (22g/cốc)</t>
        </is>
      </c>
      <c r="E16" s="15" t="inlineStr">
        <is>
          <t>Số lượng</t>
        </is>
      </c>
    </row>
    <row r="17">
      <c r="A17" s="13" t="n">
        <v>13</v>
      </c>
      <c r="B17" s="55" t="inlineStr">
        <is>
          <t>unit_price_usd</t>
        </is>
      </c>
      <c r="C17" s="55" t="inlineStr">
        <is>
          <t>$15.80</t>
        </is>
      </c>
      <c r="D17" s="13" t="inlineStr">
        <is>
          <t>USD / thùng (FCA)</t>
        </is>
      </c>
      <c r="E17" s="15" t="inlineStr">
        <is>
          <t>Đơn giá bán</t>
        </is>
      </c>
    </row>
    <row r="18">
      <c r="A18" s="13" t="n">
        <v>14</v>
      </c>
      <c r="B18" s="55" t="inlineStr">
        <is>
          <t>total_amount_usd</t>
        </is>
      </c>
      <c r="C18" s="55" t="inlineStr">
        <is>
          <t>$20,540.00</t>
        </is>
      </c>
      <c r="D18" s="13" t="inlineStr">
        <is>
          <t>Tổng giá trị FCA Lao Bảo</t>
        </is>
      </c>
      <c r="E18" s="15" t="inlineStr">
        <is>
          <t>Ngoại tệ</t>
        </is>
      </c>
    </row>
    <row r="19">
      <c r="A19" s="13" t="n">
        <v>15</v>
      </c>
      <c r="B19" s="55" t="inlineStr">
        <is>
          <t>payment_usd_phase1</t>
        </is>
      </c>
      <c r="C19" s="55" t="inlineStr">
        <is>
          <t>$8,532.00</t>
        </is>
      </c>
      <c r="D19" s="13" t="inlineStr">
        <is>
          <t>USD Đợt 1 (Tạm ứng cọc)</t>
        </is>
      </c>
      <c r="E19" s="15" t="inlineStr">
        <is>
          <t>Dòng tiền</t>
        </is>
      </c>
    </row>
    <row r="20">
      <c r="A20" s="13" t="n">
        <v>16</v>
      </c>
      <c r="B20" s="55" t="inlineStr">
        <is>
          <t>payment_usd_phase2</t>
        </is>
      </c>
      <c r="C20" s="55" t="inlineStr">
        <is>
          <t>$12,008.00</t>
        </is>
      </c>
      <c r="D20" s="13" t="inlineStr">
        <is>
          <t>USD Đợt 2 (Quyết toán)</t>
        </is>
      </c>
      <c r="E20" s="15" t="inlineStr">
        <is>
          <t>Dòng tiền</t>
        </is>
      </c>
    </row>
    <row r="21">
      <c r="A21" s="13" t="n">
        <v>17</v>
      </c>
      <c r="B21" s="55" t="inlineStr">
        <is>
          <t>exchange_rate_vnd</t>
        </is>
      </c>
      <c r="C21" s="55" t="inlineStr">
        <is>
          <t>26.008</t>
        </is>
      </c>
      <c r="D21" s="13" t="inlineStr">
        <is>
          <t>VND / USD (MB Bank)</t>
        </is>
      </c>
      <c r="E21" s="15" t="inlineStr">
        <is>
          <t>Tỷ giá</t>
        </is>
      </c>
    </row>
    <row r="22">
      <c r="A22" s="13" t="n">
        <v>18</v>
      </c>
      <c r="B22" s="55" t="inlineStr">
        <is>
          <t>total_amount_vnd</t>
        </is>
      </c>
      <c r="C22" s="55" t="inlineStr">
        <is>
          <t>534.204.320 đ</t>
        </is>
      </c>
      <c r="D22" s="13" t="inlineStr">
        <is>
          <t>Doanh thu quy đổi VNĐ</t>
        </is>
      </c>
      <c r="E22" s="15" t="inlineStr">
        <is>
          <t>Doanh thu</t>
        </is>
      </c>
    </row>
    <row r="23">
      <c r="A23" s="13" t="n">
        <v>19</v>
      </c>
      <c r="B23" s="55" t="inlineStr">
        <is>
          <t>total_actual_cost</t>
        </is>
      </c>
      <c r="C23" s="55" t="inlineStr">
        <is>
          <t>478.440.370 đ</t>
        </is>
      </c>
      <c r="D23" s="13" t="inlineStr">
        <is>
          <t>Tổng chi phí chưa VAT</t>
        </is>
      </c>
      <c r="E23" s="15" t="inlineStr">
        <is>
          <t>Chi phí</t>
        </is>
      </c>
    </row>
    <row r="24">
      <c r="A24" s="13" t="n">
        <v>20</v>
      </c>
      <c r="B24" s="55" t="inlineStr">
        <is>
          <t>vat_tax_refund_cogs</t>
        </is>
      </c>
      <c r="C24" s="55" t="inlineStr">
        <is>
          <t>37.237.630 đ</t>
        </is>
      </c>
      <c r="D24" s="13" t="inlineStr">
        <is>
          <t>Thuế GTGT 8% đầu vào chờ hoàn</t>
        </is>
      </c>
      <c r="E24" s="15" t="inlineStr">
        <is>
          <t>Hoàn thuế</t>
        </is>
      </c>
    </row>
    <row r="25">
      <c r="A25" s="13" t="n">
        <v>21</v>
      </c>
      <c r="B25" s="55" t="inlineStr">
        <is>
          <t>net_profit_tier1_pre_refund</t>
        </is>
      </c>
      <c r="C25" s="55" t="inlineStr">
        <is>
          <t>44.611.160 đ</t>
        </is>
      </c>
      <c r="D25" s="13" t="inlineStr">
        <is>
          <t>Lãi ròng Tầng 1 (Tiền tươi trong kỳ)</t>
        </is>
      </c>
      <c r="E25" s="15" t="inlineStr">
        <is>
          <t>EAT 1 (8,35%)</t>
        </is>
      </c>
    </row>
    <row r="26">
      <c r="A26" s="13" t="n">
        <v>22</v>
      </c>
      <c r="B26" s="55" t="inlineStr">
        <is>
          <t>net_profit_tier2_post_refund</t>
        </is>
      </c>
      <c r="C26" s="55" t="inlineStr">
        <is>
          <t>81.848.790 đ</t>
        </is>
      </c>
      <c r="D26" s="13" t="inlineStr">
        <is>
          <t>Lãi ròng Tầng 2 (Sau khi hoàn thuế)</t>
        </is>
      </c>
      <c r="E26" s="15" t="inlineStr">
        <is>
          <t>EAT 2 (15,32%)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5"/>
  <sheetViews>
    <sheetView showGridLines="1"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3" t="inlineStr">
        <is>
          <t>HƯỚNG DẪN QUẢN TRỊ TÀI CHÍNH &amp; VẬN HÀNH FILE EXCEL ALL-IN-ONE (MASTER WORKBOOK)</t>
        </is>
      </c>
    </row>
    <row r="2">
      <c r="A2" s="2" t="inlineStr">
        <is>
          <t>Dành cho Bộ phận Kế toán &amp; Ban Giám đốc — Công ty TNHH Global Solution Service (G-SS CO.,LTD)</t>
        </is>
      </c>
    </row>
    <row r="4">
      <c r="A4" s="1" t="inlineStr">
        <is>
          <t>★ BỘ QUY TẮC ĐẶT TÊN MÃ ĐƠN HÀNG (ORDER ID) &amp; MÃ HỢP ĐỒNG / PO XNK (QUY CHUẨN BAN GIÁM ĐỐC)</t>
        </is>
      </c>
    </row>
    <row r="5">
      <c r="A5" s="62" t="inlineStr">
        <is>
          <t>• CẤU TRÚC MÃ ĐƠN HÀNG (SHORT ID): YYMMDDNN</t>
        </is>
      </c>
    </row>
    <row r="6">
      <c r="A6" s="63" t="inlineStr">
        <is>
          <t xml:space="preserve">  - YY: 2 chữ số cuối của năm tạo nháp / lên phương án (ví dụ '26' là năm 2026).</t>
        </is>
      </c>
    </row>
    <row r="7">
      <c r="A7" s="63" t="inlineStr">
        <is>
          <t xml:space="preserve">  - MM: Tháng tạo nháp đơn hàng (ví dụ: '9' hoặc '10').</t>
        </is>
      </c>
    </row>
    <row r="8">
      <c r="A8" s="63" t="inlineStr">
        <is>
          <t xml:space="preserve">  - DD: Ngày tạo nháp đơn hàng trong tháng (ví dụ: '9', '15', '27').</t>
        </is>
      </c>
    </row>
    <row r="9">
      <c r="A9" s="63" t="inlineStr">
        <is>
          <t xml:space="preserve">  - NN: Số thứ tự đơn hàng được thành lập trong ngày hôm đó ('01', '02', '03'...).</t>
        </is>
      </c>
    </row>
    <row r="10">
      <c r="A10" s="62" t="inlineStr">
        <is>
          <t>• CẤU TRÚC MÃ HỢP ĐỒNG / PO ĐẦY ĐỦ: GSS[BUYER]_[INCOTERMS]_[YYMMDDNN]</t>
        </is>
      </c>
    </row>
    <row r="11">
      <c r="A11" s="63" t="inlineStr">
        <is>
          <t xml:space="preserve">  - GSS: Mã pháp nhân Bên bán (Global Solution Service).</t>
        </is>
      </c>
    </row>
    <row r="12">
      <c r="A12" s="63" t="inlineStr">
        <is>
          <t xml:space="preserve">  - DIX: Mã viết tắt Khách hàng mua (Duangmanee Import-Export Co., Ltd).</t>
        </is>
      </c>
    </row>
    <row r="13">
      <c r="A13" s="63" t="inlineStr">
        <is>
          <t xml:space="preserve">  - FCA: Điều kiện thương mại quốc tế Incoterms 2020 (giao tại cửa khẩu).</t>
        </is>
      </c>
    </row>
    <row r="14">
      <c r="A14" s="63" t="inlineStr">
        <is>
          <t xml:space="preserve">  - YYMMDDNN: Mã định danh thời gian và số thứ tự của đơn hàng.</t>
        </is>
      </c>
    </row>
    <row r="15">
      <c r="A15" s="62" t="inlineStr">
        <is>
          <t>• VÍ DỤ MINH HỌA ÁP DỤNG THỰC TẾ:</t>
        </is>
      </c>
    </row>
    <row r="16">
      <c r="A16" s="63" t="inlineStr">
        <is>
          <t xml:space="preserve">  1. Đơn 269901: Đơn đầu tiên của tháng 09, tạo nháp ngày 09/09/2026 -&gt; Mã HĐ: GSSDIX_FCA_269901.</t>
        </is>
      </c>
    </row>
    <row r="17">
      <c r="A17" s="63" t="inlineStr">
        <is>
          <t xml:space="preserve">  2. Đơn thứ 2 tạo nháp ngày 15/10/2026 -&gt; PO ID: GSSDIX_FCA_26101501 (Mã đơn: 26101501).</t>
        </is>
      </c>
    </row>
    <row r="18">
      <c r="A18" s="63" t="inlineStr">
        <is>
          <t xml:space="preserve">  3. Đơn thứ 3 tạo nháp ngày 27/10/2026 -&gt; PO ID: GSSDIX_FCA_26102701 (Mã đơn: 26102701).</t>
        </is>
      </c>
    </row>
    <row r="19">
      <c r="A19" s="63" t="inlineStr">
        <is>
          <t xml:space="preserve">  4. Đơn thứ 4 tạo nháp cùng ngày 27/10/2026 -&gt; PO ID: GSSDIX_FCA_26102702 (Mã đơn: 26102702).</t>
        </is>
      </c>
    </row>
    <row r="20">
      <c r="A20" s="63" t="inlineStr">
        <is>
          <t xml:space="preserve">  -&gt; Quy tắc này áp dụng xuyên suốt và nhất quán cho mọi đơn hàng tiếp theo.</t>
        </is>
      </c>
    </row>
    <row r="24">
      <c r="A24" s="1" t="inlineStr">
        <is>
          <t>1. NGUYÊN TẮC QUẢN TRỊ FILE EXCEL TẬP TRUNG (ALL-IN-ONE WORKBOOK)</t>
        </is>
      </c>
    </row>
    <row r="25">
      <c r="A25" s="63" t="inlineStr">
        <is>
          <t>• TUYỆT ĐỐI KHÔNG TÁCH RỜI FILE RIÊNG LẺ: Tất cả các đơn hàng xuất khẩu đều được quản trị trong cùng 1 file Excel này.</t>
        </is>
      </c>
    </row>
    <row r="26">
      <c r="A26" s="63" t="inlineStr">
        <is>
          <t>• MỖI ĐƠN HÀNG LÀ MỘT SHEET RIÊNG BIỆT: Tên sheet đặt theo mã chuẩn: DON_269901, DON_26101501, DON_26102701...</t>
        </is>
      </c>
    </row>
    <row r="27">
      <c r="A27" s="63" t="inlineStr">
        <is>
          <t>• SHEET TỔNG HỢP (DASHBOARD) LÀ TRUNG TÂM ĐIỀU HÀNH: Tự động gom dữ liệu từ mọi sheet đơn hàng qua công thức Excel.</t>
        </is>
      </c>
    </row>
    <row r="28">
      <c r="A28" s="63" t="inlineStr">
        <is>
          <t>• DỒN TÍCH LŨY HOÀN THUẾ GTGT: Theo dõi liên tục quỹ thuế GTGT 8% đầu vào cho đến khi đạt ngưỡng tối thiểu ≥ 300 triệu VNĐ.</t>
        </is>
      </c>
    </row>
    <row r="32">
      <c r="A32" s="1" t="inlineStr">
        <is>
          <t>2. CÁCH NHẬP LIỆU DOANH THU NGOẠI TỆ USD 2 ĐỢT VÀ TỶ GIÁ THỰC TẾ</t>
        </is>
      </c>
    </row>
    <row r="33">
      <c r="A33" s="63" t="inlineStr">
        <is>
          <t>• Mở sheet của đơn hàng tương ứng (ví dụ: Sheet 'DON_269901').</t>
        </is>
      </c>
    </row>
    <row r="34">
      <c r="A34" s="63" t="inlineStr">
        <is>
          <t>• Tại PHẦN I (Dòng 17 &amp; 18), tìm các ô có nền xanh nhạt viền nét đứt [Nhập liệu]:</t>
        </is>
      </c>
    </row>
    <row r="35">
      <c r="A35" s="63" t="inlineStr">
        <is>
          <t xml:space="preserve">  - Ô E17: Nhập số USD Đợt 1 (Tiền cọc hợp đồng).</t>
        </is>
      </c>
    </row>
    <row r="36">
      <c r="A36" s="63" t="inlineStr">
        <is>
          <t xml:space="preserve">  - Ô F17: Nhập tỷ giá mua ngoại tệ thực tế ghi trên Giấy báo Có của Ngân hàng MB Bank tại ngày nhận tiền Đợt 1.</t>
        </is>
      </c>
    </row>
    <row r="37">
      <c r="A37" s="63" t="inlineStr">
        <is>
          <t xml:space="preserve">  - Ô E18: Nhập số USD Đợt 2 (Thanh toán trước khi giao hàng).</t>
        </is>
      </c>
    </row>
    <row r="38">
      <c r="A38" s="63" t="inlineStr">
        <is>
          <t xml:space="preserve">  - Ô F18: Nhập tỷ giá thực tế ghi trên Báo Có MB Bank tại ngày nhận tiền Đợt 2.</t>
        </is>
      </c>
    </row>
    <row r="39">
      <c r="A39" s="63" t="inlineStr">
        <is>
          <t>• Dòng 19 tự động tính Tổng Doanh thu VNĐ và Tỷ giá bình quân gia quyền. Số liệu lập tức nhảy sang Sheet Dashboard!</t>
        </is>
      </c>
    </row>
    <row r="42">
      <c r="A42" s="1" t="inlineStr">
        <is>
          <t>3. CÁCH NHẬP THÊM CHI PHÍ PHÁT SINH NGOÀI CỬA KHẨU</t>
        </is>
      </c>
    </row>
    <row r="43">
      <c r="A43" s="63" t="inlineStr">
        <is>
          <t>• Tại PHẦN IV của từng sheet đơn hàng (Dòng 39 đến Dòng 43), có 5 dòng mở rộng sẵn sàng.</t>
        </is>
      </c>
    </row>
    <row r="44">
      <c r="A44" s="63" t="inlineStr">
        <is>
          <t>• Thao tác: Gõ Tên khoản chi vào Cột B, Số lượng vào Cột E, Đơn giá vào Cột F, hoặc Thành tiền chưa VAT vào Cột G.</t>
        </is>
      </c>
    </row>
    <row r="45">
      <c r="A45" s="63" t="inlineStr">
        <is>
          <t>• Thuế GTGT 8% (Cột H), Tổng thanh toán (Cột I) và Bảng tổng hợp P&amp;L (Phần V) sẽ tự động tính toán đồng bộ 100%!</t>
        </is>
      </c>
    </row>
    <row r="50">
      <c r="A50" s="1" t="inlineStr">
        <is>
          <t>4. HƯỚNG DẪN NHÂN BẢN KHI CÓ ĐƠN HÀNG MỚI (DON_26101501, DON_26102701...)</t>
        </is>
      </c>
    </row>
    <row r="51">
      <c r="A51" s="63" t="inlineStr">
        <is>
          <t>• Bước 1: Click chuột phải vào tab sheet 'DON_TEMPLATE', chọn 'Move or Copy...'</t>
        </is>
      </c>
    </row>
    <row r="52">
      <c r="A52" s="63" t="inlineStr">
        <is>
          <t>• Bước 2: Tích chọn '[x] Create a copy', chọn vị trí đặt sheet và bấm OK.</t>
        </is>
      </c>
    </row>
    <row r="53">
      <c r="A53" s="63" t="inlineStr">
        <is>
          <t>• Bước 3: Đổi tên sheet mới theo mã đơn chuẩn quy tắc, ví dụ: 'DON_26101501'.</t>
        </is>
      </c>
    </row>
    <row r="54">
      <c r="A54" s="63" t="inlineStr">
        <is>
          <t>• Bước 4: Nhập thông tin số lượng thùng, đơn giá, USD và tỷ giá vào sheet mới.</t>
        </is>
      </c>
    </row>
    <row r="55">
      <c r="A55" s="63" t="inlineStr">
        <is>
          <t>• Bước 5: Sang sheet 'TONG_HOP_DON_HANG_VA_HOAN_THUE', tại dòng chờ phát sinh điền mã đơn và sửa công thức trỏ sang sheet mới.</t>
        </is>
      </c>
    </row>
    <row r="59">
      <c r="A59" s="1" t="inlineStr">
        <is>
          <t>5. Ý NGHĨA QUẢN TRỊ 2 TẦNG LỢI NHUẬN DÀNH CHO GIÁM ĐỐC &amp; CFO</t>
        </is>
      </c>
    </row>
    <row r="60">
      <c r="A60" s="63" t="inlineStr">
        <is>
          <t>• TẦNG 1: LỢI NHUẬN RÒNG TRƯỚC HOÀN THUẾ (TIỀN TƯƠI NỘI BỘ THỰC NHẬN NGAY):</t>
        </is>
      </c>
    </row>
    <row r="61">
      <c r="A61" s="63" t="inlineStr">
        <is>
          <t xml:space="preserve">  - Là số tiền thực tế nằm chắc chắn trong tài khoản ngân hàng của GSS ngay sau khi giao hàng và nộp thuế TNDN.</t>
        </is>
      </c>
    </row>
    <row r="62">
      <c r="A62" s="63" t="inlineStr">
        <is>
          <t xml:space="preserve">  - Dùng để cân đối dòng tiền vốn lưu động, trả nợ nhà cung cấp và chia thưởng/cổ tức ngay mà không phụ thuộc vào thuế.</t>
        </is>
      </c>
    </row>
    <row r="63">
      <c r="A63" s="63" t="inlineStr">
        <is>
          <t>• TẦNG 2: LỢI NHUẬN RÒNG TỔNG THỂ DÀI HẠN (SAU KHI HOÀN THUẾ GTGT 0%):</t>
        </is>
      </c>
    </row>
    <row r="64">
      <c r="A64" s="63" t="inlineStr">
        <is>
          <t xml:space="preserve">  - Là tổng giá trị thặng dư kinh tế sau khi Nhà nước hoàn lại 8% tiền thuế GTGT đầu vào đã nộp.</t>
        </is>
      </c>
    </row>
    <row r="65">
      <c r="A65" s="63" t="inlineStr">
        <is>
          <t xml:space="preserve">  - Tiền thuế được treo tích lũy tại TK 1331 qua từng đơn hàng. Khi quỹ tích lũy đạt ≥ 300M, Kế toán nộp hồ sơ thu tiền về!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2026-09-25T01:44:15Z</dcterms:created>
  <dcterms:modified xmlns:dcterms="http://purl.org/dc/terms/" xmlns:xsi="http://www.w3.org/2001/XMLSchema-instance" xsi:type="dcterms:W3CDTF">2026-09-25T01:44:16Z</dcterms:modified>
</cp:coreProperties>
</file>